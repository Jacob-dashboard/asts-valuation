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Model" sheetId="3" state="visible" r:id="rId5"/>
    <sheet name="Stages" sheetId="4" state="visible" r:id="rId6"/>
    <sheet name="Partners" sheetId="5" state="visible" r:id="rId7"/>
    <sheet name="Underwrit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<sst xmlns="http://schemas.openxmlformats.org/spreadsheetml/2006/main" count="348" uniqueCount="315">
  <si>
    <t xml:space="preserve">ASTS Valuation Model — MNO Direct-to-Device Revenue Only</t>
  </si>
  <si>
    <t xml:space="preserve">HOW TO USE</t>
  </si>
  <si>
    <t xml:space="preserve">All assumptions live on the Inputs tab. Edit only BLUE cells on YELLOW fill; every other cell is a formula.</t>
  </si>
  <si>
    <t xml:space="preserve">The Model tab shows the P&amp;L waterfall, constellation economics, three valuation lenses, the blend, and sanity checks.</t>
  </si>
  <si>
    <t xml:space="preserve">The Stages tab shows what the company could be worth at different constellation stages, with stage-appropriate multiples.</t>
  </si>
  <si>
    <t xml:space="preserve">COLOR LEGEND</t>
  </si>
  <si>
    <t xml:space="preserve">Blue text on yellow fill = input you can change   |   Black = formula   |   Green = link to another sheet</t>
  </si>
  <si>
    <t xml:space="preserve">KEY MECHANICS (as specified by the model owner)</t>
  </si>
  <si>
    <t xml:space="preserve">revenue = subscribers(B) x ARPU($/mo) x 12 x revenue_share%</t>
  </si>
  <si>
    <t xml:space="preserve">gross_profit = revenue x gross_margin;  ebitda = gross_profit - opex;  ebit = ebitda - D&amp;A</t>
  </si>
  <si>
    <t xml:space="preserve">net_income = pretax x (1 - tax) when pretax &gt; 0</t>
  </si>
  <si>
    <t xml:space="preserve">eq_gross = GP x 11x - net_debt;  eq_ebitda = EBITDA x 16x - net_debt;  eq_pe = NI x 28x (already equity)</t>
  </si>
  <si>
    <t xml:space="preserve">blend = 50% P/E + 35% EV/EBITDA + 15% EV/GP  (leans on net income - the only lens that sees replenishment capex)</t>
  </si>
  <si>
    <t xml:space="preserve">KEY ASSUMPTIONS &amp; SOURCES</t>
  </si>
  <si>
    <t xml:space="preserve">All operating assumptions (sat count range 45-248, subs 100M-2B, ARPU $2.50-$5.00, margin 50-70%, sat life 5-7 yrs,</t>
  </si>
  <si>
    <t xml:space="preserve">$20-25M cost per sat incl. launch, multiples 11x/16x/28x, blend weights 50/35/15) were provided by the model owner.</t>
  </si>
  <si>
    <t xml:space="preserve">Ground/other D&amp;A of $5B/yr is a calibration plug so the base case reproduces the owner's prior-model anchors</t>
  </si>
  <si>
    <t xml:space="preserve">($60B rev, $42B GP, $34.2B EBITDA, $22B NI). It scales with constellation completeness (sats/248).</t>
  </si>
  <si>
    <t xml:space="preserve">Net debt, interest rate, opex % are owner-adjustable estimates, not filings data - update from latest 10-Q.</t>
  </si>
  <si>
    <t xml:space="preserve">Share count 388.12M and market reference ($61.95/sh, $24.04B cap) are as of Jul 22, 2026 close, from</t>
  </si>
  <si>
    <t xml:space="preserve">stockanalysis.com/stocks/asts. Share count excludes future dilution from converts/warrants - raise it to taste.</t>
  </si>
  <si>
    <t xml:space="preserve">Model is steady-state (one representative year at scale), MNO D2D revenue only - no FirstNet/gov, no IoT.</t>
  </si>
  <si>
    <t xml:space="preserve">INPUTS — edit blue cells on yellow only</t>
  </si>
  <si>
    <t xml:space="preserve">DEMAND</t>
  </si>
  <si>
    <t xml:space="preserve">Satellites in orbit</t>
  </si>
  <si>
    <t xml:space="preserve">sats</t>
  </si>
  <si>
    <t xml:space="preserve">45 = start of commercial coverage, 248 = FCC-granted full constellation</t>
  </si>
  <si>
    <t xml:space="preserve">Subscribers</t>
  </si>
  <si>
    <t xml:space="preserve">millions</t>
  </si>
  <si>
    <t xml:space="preserve">Range 100 - 2,000 (i.e., 100M to 2B subs)</t>
  </si>
  <si>
    <t xml:space="preserve">ARPU</t>
  </si>
  <si>
    <t xml:space="preserve">$/sub/mo</t>
  </si>
  <si>
    <t xml:space="preserve">Range $2.50 - $5.00 per sub per month</t>
  </si>
  <si>
    <t xml:space="preserve">Revenue share to ASTS</t>
  </si>
  <si>
    <t xml:space="preserve">% of ARPU</t>
  </si>
  <si>
    <t xml:space="preserve">100% = ARPU is ASTS's cut; lower if ARPU is retail price shared with MNOs</t>
  </si>
  <si>
    <t xml:space="preserve">OPERATING ECONOMICS</t>
  </si>
  <si>
    <t xml:space="preserve">Gross margin</t>
  </si>
  <si>
    <t xml:space="preserve">% of revenue</t>
  </si>
  <si>
    <t xml:space="preserve">Range 50% - 70%</t>
  </si>
  <si>
    <t xml:space="preserve">Opex</t>
  </si>
  <si>
    <t xml:space="preserve">Calibrated so base EBITDA = $34.2B</t>
  </si>
  <si>
    <t xml:space="preserve">Tax rate</t>
  </si>
  <si>
    <t xml:space="preserve">% of pretax</t>
  </si>
  <si>
    <t xml:space="preserve">US federal statutory</t>
  </si>
  <si>
    <t xml:space="preserve">CONSTELLATION</t>
  </si>
  <si>
    <t xml:space="preserve">Worldwide constellation size</t>
  </si>
  <si>
    <t xml:space="preserve">FCC-granted constellation, Apr 2026 - the model's full worldwide build</t>
  </si>
  <si>
    <t xml:space="preserve">Satellite lifespan</t>
  </si>
  <si>
    <t xml:space="preserve">years</t>
  </si>
  <si>
    <t xml:space="preserve">Range 5 - 7 years</t>
  </si>
  <si>
    <t xml:space="preserve">Cost per satellite incl. launch</t>
  </si>
  <si>
    <t xml:space="preserve">$M</t>
  </si>
  <si>
    <t xml:space="preserve">Range $20 - 25M all-in</t>
  </si>
  <si>
    <t xml:space="preserve">Ground/other D&amp;A at full scale</t>
  </si>
  <si>
    <t xml:space="preserve">$B/yr</t>
  </si>
  <si>
    <t xml:space="preserve">Calibration plug (gateways, gen-2 assets); scales with sats/248</t>
  </si>
  <si>
    <t xml:space="preserve">CAPITAL STRUCTURE</t>
  </si>
  <si>
    <t xml:space="preserve">Net debt</t>
  </si>
  <si>
    <t xml:space="preserve">$B</t>
  </si>
  <si>
    <t xml:space="preserve">Update from latest filing</t>
  </si>
  <si>
    <t xml:space="preserve">Interest rate on net debt</t>
  </si>
  <si>
    <t xml:space="preserve">%</t>
  </si>
  <si>
    <t xml:space="preserve">Blended cost of debt</t>
  </si>
  <si>
    <t xml:space="preserve">Shares outstanding</t>
  </si>
  <si>
    <t xml:space="preserve">388.12M as of Jul 22, 2026 (stockanalysis.com); raise for convert/warrant dilution</t>
  </si>
  <si>
    <t xml:space="preserve">VALUATION MULTIPLES &amp; BLEND WEIGHTS</t>
  </si>
  <si>
    <t xml:space="preserve">EV / Gross Profit multiple</t>
  </si>
  <si>
    <t xml:space="preserve">x</t>
  </si>
  <si>
    <t xml:space="preserve">Most generous lens - ignores everything below gross line</t>
  </si>
  <si>
    <t xml:space="preserve">EV / EBITDA multiple</t>
  </si>
  <si>
    <t xml:space="preserve">Blind to satellite replenishment (above D&amp;A line)</t>
  </si>
  <si>
    <t xml:space="preserve">P/E multiple</t>
  </si>
  <si>
    <t xml:space="preserve">Only lens that absorbs D&amp;A, interest, tax</t>
  </si>
  <si>
    <t xml:space="preserve">Blend weight - Net income (P/E)</t>
  </si>
  <si>
    <t xml:space="preserve">weight</t>
  </si>
  <si>
    <t xml:space="preserve">Leans on the lens that sees capex</t>
  </si>
  <si>
    <t xml:space="preserve">Blend weight - EBITDA</t>
  </si>
  <si>
    <t xml:space="preserve">Blend weight - Gross profit</t>
  </si>
  <si>
    <t xml:space="preserve">SANITY-CHECK THRESHOLDS</t>
  </si>
  <si>
    <t xml:space="preserve">Max plausible revenue per sat</t>
  </si>
  <si>
    <t xml:space="preserve">$M/sat/yr</t>
  </si>
  <si>
    <t xml:space="preserve">Flag if a sat must earn more than this per year</t>
  </si>
  <si>
    <t xml:space="preserve">Subscriber capacity per sat</t>
  </si>
  <si>
    <t xml:space="preserve">M subs/sat</t>
  </si>
  <si>
    <t xml:space="preserve">No direct AST guidance; ~60 MNO deals cover 3B+ subs = ~12M/sat addressable at 248 - 8M is conservative</t>
  </si>
  <si>
    <t xml:space="preserve">Telecom EV/Revenue range</t>
  </si>
  <si>
    <t xml:space="preserve">2x - 4x</t>
  </si>
  <si>
    <t xml:space="preserve">Mature telecom comps for reference</t>
  </si>
  <si>
    <t xml:space="preserve">MARKET REFERENCE (STATIC)</t>
  </si>
  <si>
    <t xml:space="preserve">Current share price</t>
  </si>
  <si>
    <t xml:space="preserve">$/sh</t>
  </si>
  <si>
    <t xml:space="preserve">As of Jul 22, 2026 close - stockanalysis.com/stocks/asts</t>
  </si>
  <si>
    <t xml:space="preserve">Current market cap</t>
  </si>
  <si>
    <t xml:space="preserve">price x 388.12M shares - consistency check for the cell above</t>
  </si>
  <si>
    <t xml:space="preserve">ADOPTION &amp; TIME VALUE</t>
  </si>
  <si>
    <t xml:space="preserve">Years until subscriber target reached</t>
  </si>
  <si>
    <t xml:space="preserve">S-curve adoption - the valued steady-state year arrives this far out</t>
  </si>
  <si>
    <t xml:space="preserve">Discount rate</t>
  </si>
  <si>
    <t xml:space="preserve">%/yr</t>
  </si>
  <si>
    <t xml:space="preserve">Pulls the steady-state value back to today; ~growth-equity hurdle</t>
  </si>
  <si>
    <t xml:space="preserve">DILUTION FROM CONVERTIBLE NOTES (AS OF JUL 22, 2026)</t>
  </si>
  <si>
    <t xml:space="preserve">Series</t>
  </si>
  <si>
    <t xml:space="preserve">Principal ($M)</t>
  </si>
  <si>
    <t xml:space="preserve">Conversion ($/sh)</t>
  </si>
  <si>
    <t xml:space="preserve">Shares if converted (M)</t>
  </si>
  <si>
    <t xml:space="preserve">4.25% due 2032 (Jan '25; de minimis after Feb '26 repurchase; conv est.)</t>
  </si>
  <si>
    <t xml:space="preserve">2.375% due 2032 (Jul '25; capped call to $120.12)</t>
  </si>
  <si>
    <t xml:space="preserve">2.250% due 2036 (Feb '26)</t>
  </si>
  <si>
    <t xml:space="preserve">1.625% due 2034 (Jul '26; capped call to $149.20; cash-settle option)</t>
  </si>
  <si>
    <t xml:space="preserve">Total potential new shares</t>
  </si>
  <si>
    <t xml:space="preserve">% of converts settled in shares</t>
  </si>
  <si>
    <t xml:space="preserve">0% = cash-settled/repaid; 100% = all four series convert to stock</t>
  </si>
  <si>
    <t xml:space="preserve">Future dilution beyond converts</t>
  </si>
  <si>
    <t xml:space="preserve">extra shares from future raises / stock comp; share count grew ~18% in the yr to mid-2026</t>
  </si>
  <si>
    <t xml:space="preserve">Effective diluted shares</t>
  </si>
  <si>
    <t xml:space="preserve">shares x (1+future dilution) + convert shares - used by every price formula</t>
  </si>
  <si>
    <t xml:space="preserve">Capped calls offset economic dilution between conversion and cap prices; slider models gross share settlement (conservative).</t>
  </si>
  <si>
    <t xml:space="preserve">MODEL — one representative year at the chosen scale</t>
  </si>
  <si>
    <t xml:space="preserve">P&amp;L WATERFALL ($B/yr)</t>
  </si>
  <si>
    <t xml:space="preserve">Revenue</t>
  </si>
  <si>
    <t xml:space="preserve">subs(B) x ARPU x 12 x rev share</t>
  </si>
  <si>
    <t xml:space="preserve">Gross profit</t>
  </si>
  <si>
    <t xml:space="preserve">revenue x gross margin</t>
  </si>
  <si>
    <t xml:space="preserve">revenue x opex %</t>
  </si>
  <si>
    <t xml:space="preserve">EBITDA</t>
  </si>
  <si>
    <t xml:space="preserve">gross profit - opex</t>
  </si>
  <si>
    <t xml:space="preserve">Fleet D&amp;A</t>
  </si>
  <si>
    <t xml:space="preserve">sats x cost per sat / lifespan  (= replacement run-rate)</t>
  </si>
  <si>
    <t xml:space="preserve">Ground/other D&amp;A</t>
  </si>
  <si>
    <t xml:space="preserve">scales with constellation completeness</t>
  </si>
  <si>
    <t xml:space="preserve">EBIT</t>
  </si>
  <si>
    <t xml:space="preserve">ebitda - D&amp;A</t>
  </si>
  <si>
    <t xml:space="preserve">Interest</t>
  </si>
  <si>
    <t xml:space="preserve">net debt x rate</t>
  </si>
  <si>
    <t xml:space="preserve">Pretax income</t>
  </si>
  <si>
    <t xml:space="preserve">Net income</t>
  </si>
  <si>
    <t xml:space="preserve">taxed only when profitable</t>
  </si>
  <si>
    <t xml:space="preserve">CONSTELLATION ECONOMICS</t>
  </si>
  <si>
    <t xml:space="preserve">Replacement rate</t>
  </si>
  <si>
    <t xml:space="preserve">sats/yr</t>
  </si>
  <si>
    <t xml:space="preserve">sats that must be replaced every year at this fleet size</t>
  </si>
  <si>
    <t xml:space="preserve">Replacement capex</t>
  </si>
  <si>
    <t xml:space="preserve">annual spend just to stand still</t>
  </si>
  <si>
    <t xml:space="preserve">Sats remaining to worldwide</t>
  </si>
  <si>
    <t xml:space="preserve">deployments still needed to the 248-sat full build</t>
  </si>
  <si>
    <t xml:space="preserve">Capex to reach worldwide</t>
  </si>
  <si>
    <t xml:space="preserve">one-time build-out cost remaining</t>
  </si>
  <si>
    <t xml:space="preserve">Constellation gross book value</t>
  </si>
  <si>
    <t xml:space="preserve">current fleet at cost</t>
  </si>
  <si>
    <t xml:space="preserve">VALUATION — THREE LENSES ($B equity value)</t>
  </si>
  <si>
    <t xml:space="preserve">1. EV/Gross Profit lens</t>
  </si>
  <si>
    <t xml:space="preserve">GP x multiple - net debt  (ignores all costs below gross line)</t>
  </si>
  <si>
    <t xml:space="preserve">2. EV/EBITDA lens</t>
  </si>
  <si>
    <t xml:space="preserve">EBITDA x multiple - net debt  (blind to replenishment capex)</t>
  </si>
  <si>
    <t xml:space="preserve">3. P/E lens</t>
  </si>
  <si>
    <t xml:space="preserve">NI x multiple  (already equity - sees D&amp;A, interest, tax)</t>
  </si>
  <si>
    <t xml:space="preserve">Blended equity value (implied mkt cap)</t>
  </si>
  <si>
    <t xml:space="preserve">50/35/15 net/EBITDA/gross</t>
  </si>
  <si>
    <t xml:space="preserve">IMPLIED SHARE PRICE</t>
  </si>
  <si>
    <t xml:space="preserve">Price - EV/GP lens</t>
  </si>
  <si>
    <t xml:space="preserve">Price - EV/EBITDA lens</t>
  </si>
  <si>
    <t xml:space="preserve">Price - P/E lens</t>
  </si>
  <si>
    <t xml:space="preserve">Price - BLEND</t>
  </si>
  <si>
    <t xml:space="preserve">blend $B x 1e9 / effective diluted shares (Inputs B52)</t>
  </si>
  <si>
    <t xml:space="preserve">Upside vs current price</t>
  </si>
  <si>
    <t xml:space="preserve">blend price / market reference price on Inputs</t>
  </si>
  <si>
    <t xml:space="preserve">SANITY CHECKS</t>
  </si>
  <si>
    <t xml:space="preserve">Revenue per sat (current fleet)</t>
  </si>
  <si>
    <t xml:space="preserve">what each sat in orbit must earn</t>
  </si>
  <si>
    <t xml:space="preserve">Revenue per sat (at 248 full fleet)</t>
  </si>
  <si>
    <t xml:space="preserve">revenue x 1000 / full 248 fleet (spec originally used 256)</t>
  </si>
  <si>
    <t xml:space="preserve">Rev/sat flag</t>
  </si>
  <si>
    <t xml:space="preserve">EV / Revenue</t>
  </si>
  <si>
    <t xml:space="preserve">mature telecom trades 2x - 4x; growth premium above that</t>
  </si>
  <si>
    <t xml:space="preserve">EV/Rev flag</t>
  </si>
  <si>
    <t xml:space="preserve">Subscriber capacity of fleet</t>
  </si>
  <si>
    <t xml:space="preserve">M subs</t>
  </si>
  <si>
    <t xml:space="preserve">sats x capacity per sat</t>
  </si>
  <si>
    <t xml:space="preserve">Capacity flag</t>
  </si>
  <si>
    <t xml:space="preserve">ADOPTION-ADJUSTED VALUE (PV)</t>
  </si>
  <si>
    <t xml:space="preserve">Discount factor</t>
  </si>
  <si>
    <t xml:space="preserve">1/(1+discount)^years - the price of waiting</t>
  </si>
  <si>
    <t xml:space="preserve">Value today (PV of blend price)</t>
  </si>
  <si>
    <t xml:space="preserve">steady-state price discounted back - compare THIS to the market</t>
  </si>
  <si>
    <t xml:space="preserve">PV of blended equity</t>
  </si>
  <si>
    <t xml:space="preserve">PV upside vs current price</t>
  </si>
  <si>
    <t xml:space="preserve">the growth premium, honestly separated from the multiples</t>
  </si>
  <si>
    <t xml:space="preserve">STAGES — what could it trade at across the constellation's life?</t>
  </si>
  <si>
    <t xml:space="preserve">Blue cells are stage assumptions you can edit (subs, ARPU, and stage-appropriate multiples: hypergrowth premium early, telecom compression at maturity). Opex %, margins, tax, capital structure pull from Inputs.</t>
  </si>
  <si>
    <t xml:space="preserve">Stage</t>
  </si>
  <si>
    <t xml:space="preserve">Sats</t>
  </si>
  <si>
    <t xml:space="preserve">Subs (M)</t>
  </si>
  <si>
    <t xml:space="preserve">GP mult</t>
  </si>
  <si>
    <t xml:space="preserve">EBITDA mult</t>
  </si>
  <si>
    <t xml:space="preserve">P/E mult</t>
  </si>
  <si>
    <t xml:space="preserve">Revenue ($B)</t>
  </si>
  <si>
    <t xml:space="preserve">EBITDA ($B)</t>
  </si>
  <si>
    <t xml:space="preserve">Net inc ($B)</t>
  </si>
  <si>
    <t xml:space="preserve">Eq: GP lens ($B)</t>
  </si>
  <si>
    <t xml:space="preserve">Eq: EBITDA ($B)</t>
  </si>
  <si>
    <t xml:space="preserve">Eq: P/E ($B)</t>
  </si>
  <si>
    <t xml:space="preserve">Blend ($B)</t>
  </si>
  <si>
    <t xml:space="preserve">Price ($/sh)</t>
  </si>
  <si>
    <t xml:space="preserve">Rev/sat ($M)</t>
  </si>
  <si>
    <t xml:space="preserve">ETA (yrs)</t>
  </si>
  <si>
    <t xml:space="preserve">PV today ($/sh)</t>
  </si>
  <si>
    <t xml:space="preserve">Early commercial</t>
  </si>
  <si>
    <t xml:space="preserve">Continental coverage</t>
  </si>
  <si>
    <t xml:space="preserve">Near-global</t>
  </si>
  <si>
    <t xml:space="preserve">Worldwide (base case)</t>
  </si>
  <si>
    <t xml:space="preserve">Mature / saturated</t>
  </si>
  <si>
    <t xml:space="preserve">Stage subs/ARPU/multiples are illustrative editable assumptions from the model owner's framework: growth multiples compress as the story de-risks and growth slows.</t>
  </si>
  <si>
    <t xml:space="preserve">PARTNERS - ~60 MNO agreements covering 3B+ combined subscribers (AST)</t>
  </si>
  <si>
    <t xml:space="preserve">Partner</t>
  </si>
  <si>
    <t xml:space="preserve">Region</t>
  </si>
  <si>
    <t xml:space="preserve">% of 3B</t>
  </si>
  <si>
    <t xml:space="preserve">Agreement / status</t>
  </si>
  <si>
    <t xml:space="preserve">Vodafone Group</t>
  </si>
  <si>
    <t xml:space="preserve">Europe / Africa</t>
  </si>
  <si>
    <t xml:space="preserve">Definitive; SatCo JV for Europe; investor</t>
  </si>
  <si>
    <t xml:space="preserve">Vodafone Idea (Vi)</t>
  </si>
  <si>
    <t xml:space="preserve">India</t>
  </si>
  <si>
    <t xml:space="preserve">Announced partner</t>
  </si>
  <si>
    <t xml:space="preserve">Verizon</t>
  </si>
  <si>
    <t xml:space="preserve">United States</t>
  </si>
  <si>
    <t xml:space="preserve">Definitive commercial agreement; service from 2026</t>
  </si>
  <si>
    <t xml:space="preserve">AT&amp;T</t>
  </si>
  <si>
    <t xml:space="preserve">Definitive commercial agreement; investor</t>
  </si>
  <si>
    <t xml:space="preserve">stc group</t>
  </si>
  <si>
    <t xml:space="preserve">Saudi / MENA</t>
  </si>
  <si>
    <t xml:space="preserve">Partner; 13 subsidiaries across MENA/Europe</t>
  </si>
  <si>
    <t xml:space="preserve">TELUS</t>
  </si>
  <si>
    <t xml:space="preserve">Canada</t>
  </si>
  <si>
    <t xml:space="preserve">Partner (21M total connections)</t>
  </si>
  <si>
    <t xml:space="preserve">Bell</t>
  </si>
  <si>
    <t xml:space="preserve">Partner; investor (BCE)</t>
  </si>
  <si>
    <t xml:space="preserve">Rakuten Mobile</t>
  </si>
  <si>
    <t xml:space="preserve">Japan</t>
  </si>
  <si>
    <t xml:space="preserve">Founding strategic investor (group: 1.6B members)</t>
  </si>
  <si>
    <t xml:space="preserve">Named subtotal</t>
  </si>
  <si>
    <t xml:space="preserve">All agreements (AST)</t>
  </si>
  <si>
    <t xml:space="preserve">~60 MNOs; $1.2B+ contracted revenue committed to date</t>
  </si>
  <si>
    <t xml:space="preserve">Your target penetration</t>
  </si>
  <si>
    <t xml:space="preserve">Inputs subscribers / 3B partnered base - the subs input is a penetration assumption on this pool</t>
  </si>
  <si>
    <t xml:space="preserve">Fleet capacity cross-check</t>
  </si>
  <si>
    <t xml:space="preserve">248 sats x capacity per sat (M subs) - addressable exceeds capacity, so satellites are the bottleneck</t>
  </si>
  <si>
    <t xml:space="preserve">Subscriber figures are each operator's public totals (approximate, mid-2025/26) - the pool AST can sell into,</t>
  </si>
  <si>
    <t xml:space="preserve">not users AST has signed. Rakuten's 1.6B 'members' is its e-commerce ecosystem; the mobile base (~7M) is used here.</t>
  </si>
  <si>
    <t xml:space="preserve">Sources: ast-science.com/partners | Q1 2026 business update (~60 agreements, 3B+ subs, $1.2B+ contracted)</t>
  </si>
  <si>
    <t xml:space="preserve">| Via Satellite Oct 2025 (Verizon commercial agreement).</t>
  </si>
  <si>
    <t xml:space="preserve">UNDERWRITING NOTES - what each piece of this model is betting on</t>
  </si>
  <si>
    <t xml:space="preserve">THE THREE LENSES</t>
  </si>
  <si>
    <t xml:space="preserve">1. EV/Gross Profit x11: anchors on gross profit, before any operating or capital cost. Most generous by construction;</t>
  </si>
  <si>
    <t xml:space="preserve">   blind to everything that makes a satellite business hard. This is how pre-scale infrastructure gets pitched.</t>
  </si>
  <si>
    <t xml:space="preserve">2. EV/EBITDA x16: absorbs opex but sits above the D&amp;A line, so it never sees that the revenue-generating asset burns up</t>
  </si>
  <si>
    <t xml:space="preserve">   every 5-7 years. Structurally overstates cash generation for a consumable fleet. 16x = premium infra multiple.</t>
  </si>
  <si>
    <t xml:space="preserve">3. P/E x28: net income has already paid for depreciation (= satellite replenishment), interest and tax. The only honest</t>
  </si>
  <si>
    <t xml:space="preserve">   lens for this business; produces the lowest value. 28x = quality-growth-compounder multiple.</t>
  </si>
  <si>
    <t xml:space="preserve">BLEND 50/35/15 (net/EBITDA/gross): majority weight on P/E because it is the only lens that pays for the capex.</t>
  </si>
  <si>
    <t xml:space="preserve">STAGE-BY-STAGE (fleet anchors are AST's own guidance)</t>
  </si>
  <si>
    <t xml:space="preserve">Early commercial, 45 sats: low end of AST's 45-60 guidance for continuous US &amp; select-market coverage. 50M subs at</t>
  </si>
  <si>
    <t xml:space="preserve">   $3.00 intro ARPU; hypergrowth multiples (50x P/E); earnings near zero so blended value is small or negative.</t>
  </si>
  <si>
    <t xml:space="preserve">Continental, 90 sats: AST's stated threshold for continuous global service (company says fully funded to here).</t>
  </si>
  <si>
    <t xml:space="preserve">   150M subs at $3.50; still premium multiples (40x P/E).</t>
  </si>
  <si>
    <t xml:space="preserve">Near-global, 168 sats: between the 90-sat threshold and the 248-sat FCC grant; extra sats deepen capacity.</t>
  </si>
  <si>
    <t xml:space="preserve">   500M subs at $4.00; multiples begin compressing (32x P/E) as the story de-risks.</t>
  </si>
  <si>
    <t xml:space="preserve">Worldwide, 248 sats: the full FCC-authorized constellation (granted Apr 2026). Base case: 1B subs at $5.00 -</t>
  </si>
  <si>
    <t xml:space="preserve">   the calibration anchors ($60B revenue, $22B net income). 28x P/E, quality-compounder grade.</t>
  </si>
  <si>
    <t xml:space="preserve">Mature, 248 sats: 1.5B subs pushes rev/sat to ~$363M/yr - above the plausibility ceiling (flagged). Multiples</t>
  </si>
  <si>
    <t xml:space="preserve">   compress to telecom-plus (18x P/E). The blend barely rises vs Worldwide: compression eats the extra earnings.</t>
  </si>
  <si>
    <t xml:space="preserve">COVERAGE GUIDANCE (AST's own statements)</t>
  </si>
  <si>
    <t xml:space="preserve">5+ sats: intermittent, non-continuous coverage windows; initial US service targeted early 2026 (Light Reading).</t>
  </si>
  <si>
    <t xml:space="preserve">45-60 sats: continuous coverage of US, Europe, Japan, Saudi Arabia and other key markets (AST FAQ).</t>
  </si>
  <si>
    <t xml:space="preserve">~90 sats: continuous global service; AST states it is fully funded for the ~90-satellite constellation (Q1 2026).</t>
  </si>
  <si>
    <t xml:space="preserve">248 sats: FCC granted constellation authority Apr 2026 (SatNews) - the model's full worldwide build.</t>
  </si>
  <si>
    <t xml:space="preserve">Capacity per satellite: no direct guidance. Published anchors: 10 GHz processing per Block 2 (10x Block 1),</t>
  </si>
  <si>
    <t xml:space="preserve">40 MHz beams at up to 120 Mbps, ~60 MNO agreements covering 3B+ subs = ~12M/sat addressable at 248 sats.</t>
  </si>
  <si>
    <t xml:space="preserve">AST'S OWN MARGIN GUIDANCE VS THIS MODEL</t>
  </si>
  <si>
    <t xml:space="preserve">Q4 2025 earnings call: flow-through margins and operating leverage 'could contribute to an EBITDA margin in the</t>
  </si>
  <si>
    <t xml:space="preserve">90% area or higher' at scale, with high service gross margins already observed (Motley Fool transcript, Mar 2026).</t>
  </si>
  <si>
    <t xml:space="preserve">This model's base case runs a 57% EBITDA margin (70% gross margin - 13% opex) - deliberately conservative,</t>
  </si>
  <si>
    <t xml:space="preserve">roughly two-thirds of what management itself guides to. Set gross margin 70% / opex 5% to approach the ~65% cap</t>
  </si>
  <si>
    <t xml:space="preserve">this model's slider ranges allow; the gap to 90% is margin of safety, not a forecast disagreement.</t>
  </si>
  <si>
    <t xml:space="preserve">WHAT 'ONE STEADY-STATE YEAR' MEANS</t>
  </si>
  <si>
    <t xml:space="preserve">The model freezes a single representative year in the future - constellation built to your satellite setting,</t>
  </si>
  <si>
    <t xml:space="preserve">subscribers fully ramped, replacement launches running at cruise - and values that snapshot with market multiples.</t>
  </si>
  <si>
    <t xml:space="preserve">It deliberately skips the path: no discounting of the years in between, no execution risk, no dilution along the</t>
  </si>
  <si>
    <t xml:space="preserve">way. That is what the multiples are for - a 28x P/E on a mature year already embeds a market's view of growth and</t>
  </si>
  <si>
    <t xml:space="preserve">risk. The Financing tab of the companion app models the path (build-out cash flows); this workbook prices the</t>
  </si>
  <si>
    <t xml:space="preserve">destination. When comparing to today's $61.95, remember the implied price is for the steady-state year, not now.</t>
  </si>
  <si>
    <t xml:space="preserve">ADOPTION &amp; THE GROWTH PREMIUM (WITHOUT DOUBLE COUNTING)</t>
  </si>
  <si>
    <t xml:space="preserve">Subscribers adopt over years, so juicing the multiples for growth would double count - a 28x P/E already embeds</t>
  </si>
  <si>
    <t xml:space="preserve">growth expectations. Instead: value_today = steady-state blend price / (1+discount)^years-to-target (Model B46).</t>
  </si>
  <si>
    <t xml:space="preserve">An S-curve says WHEN the target arrives; the discount rate charges for waiting and execution risk. Each stage row</t>
  </si>
  <si>
    <t xml:space="preserve">carries an editable ETA and a PV-today column - note the Mature stage 9 yrs out is worth LESS today than</t>
  </si>
  <si>
    <t xml:space="preserve">Worldwide at 6 yrs: time value eats the bigger economics. Compare PV today (B46) to the market, not the frozen price.</t>
  </si>
  <si>
    <t xml:space="preserve">DILUTION FROM CONVERTIBLE NOTES</t>
  </si>
  <si>
    <t xml:space="preserve">Four series outstanding (Inputs, Dilution table): 4.25% '32 ~$3.5M rem. (conv ~$27 est.); 2.375% '32 $325M @ $72.07</t>
  </si>
  <si>
    <t xml:space="preserve">(cap $120.12); 2.250% '36 $1,000M @ $116.30; 1.625% '34 $1,150M @ $79.57 (cap $149.20, cash-settle option).</t>
  </si>
  <si>
    <t xml:space="preserve">Full conversion adds ~27.7M shares (~+7% on 388M) - modest, because each raise priced conversion at a 20% premium</t>
  </si>
  <si>
    <t xml:space="preserve">with capped calls offsetting economic dilution up to the cap. The '% settled in shares' input walks 0-100%, and a</t>
  </si>
  <si>
    <t xml:space="preserve">separate 'Future dilution beyond converts' input adds shares from raises not yet done (stock comp, ATMs, Block 3</t>
  </si>
  <si>
    <t xml:space="preserve">funding). Every price formula uses the Effective diluted shares cell. Feb '26: $296.5M of converts repurchased.</t>
  </si>
  <si>
    <t xml:space="preserve">If notes convert, the stock is far above conversion prices - dilution only happens when the thesis is working.</t>
  </si>
  <si>
    <t xml:space="preserve">SOURCES</t>
  </si>
  <si>
    <t xml:space="preserve">ast-science.com/faqs | satnews.com (FCC 248-sat grant, Apr 2026) | lightreading.com (early-2026 initial service)</t>
  </si>
  <si>
    <t xml:space="preserve">fool.com Q4 2025 earnings transcript (EBITDA margin 'in the 90% area or higher')</t>
  </si>
  <si>
    <t xml:space="preserve">spacenews.com (fully funded key-market plan) | Q1 2026 8-K: ~$3.5B cash, ~$3.0B debt (stocktitan.net)</t>
  </si>
  <si>
    <t xml:space="preserve">Jul 2026: $1.15B 1.625% convertible notes due 2034 settled Jul 22, 2026 (conversion ~$79.57, capped call $149.20);</t>
  </si>
  <si>
    <t xml:space="preserve">pro forma cash incl. restricted $3.8B+ as of Jun 30, 2026 (businesswire completion release). Debt now ~$4.1B.</t>
  </si>
  <si>
    <t xml:space="preserve">Convert terms: businesswire pricing releases Jan '25 / Jul '25 ($72.07, cap $120.12) / Feb '26 ($116.30) /</t>
  </si>
  <si>
    <t xml:space="preserve">Jul '26 ($79.57, cap $149.20); Feb '26 8-K for the $296.5M repurchases.</t>
  </si>
  <si>
    <t xml:space="preserve">stockanalysis.com/stocks/asts: $61.95 close, $24.04B mkt cap, 388.12M shares as of Jul 22, 2026.</t>
  </si>
  <si>
    <t xml:space="preserve">Financing/build-out cash-flow simulation lives in the companion HTML app (Financing tab), not in this workbook.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</si>
</sst>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\$0.00"/>
    <numFmt numFmtId="167" formatCode="0.0%"/>
    <numFmt numFmtId="168" formatCode="\$#,##0;&quot;($&quot;#,##0\);\-"/>
    <numFmt numFmtId="169" formatCode="\$#,##0.0;&quot;($&quot;#,##0.0\);\-"/>
    <numFmt numFmtId="170" formatCode="0.0\x"/>
    <numFmt numFmtId="171" formatCode="\$#,##0.00"/>
    <numFmt numFmtId="172" formatCode="#,##0.00"/>
    <numFmt numFmtId="173" formatCode="#,##0.0"/>
    <numFmt numFmtId="174" formatCode="\$#,##0"/>
    <numFmt numFmtId="175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22</v>
      </c>
      <c r="B1" s="4"/>
      <c r="C1" s="4"/>
      <c r="D1" s="4"/>
    </row>
    <row r="3" customFormat="false" ht="15" hidden="false" customHeight="false" outlineLevel="0" collapsed="false">
      <c r="A3" s="5" t="s">
        <v>23</v>
      </c>
      <c r="B3" s="6"/>
      <c r="C3" s="6"/>
      <c r="D3" s="6"/>
    </row>
    <row r="4" customFormat="false" ht="15" hidden="false" customHeight="false" outlineLevel="0" collapsed="false">
      <c r="A4" s="3" t="s">
        <v>24</v>
      </c>
      <c r="B4" s="7" t="n">
        <v>248</v>
      </c>
      <c r="C4" s="8" t="s">
        <v>25</v>
      </c>
      <c r="D4" s="8" t="s">
        <v>26</v>
      </c>
    </row>
    <row r="5" customFormat="false" ht="15" hidden="false" customHeight="false" outlineLevel="0" collapsed="false">
      <c r="A5" s="3" t="s">
        <v>27</v>
      </c>
      <c r="B5" s="7" t="n">
        <v>1000</v>
      </c>
      <c r="C5" s="8" t="s">
        <v>28</v>
      </c>
      <c r="D5" s="8" t="s">
        <v>29</v>
      </c>
    </row>
    <row r="6" customFormat="false" ht="15" hidden="false" customHeight="false" outlineLevel="0" collapsed="false">
      <c r="A6" s="3" t="s">
        <v>30</v>
      </c>
      <c r="B6" s="9" t="n">
        <v>5</v>
      </c>
      <c r="C6" s="8" t="s">
        <v>31</v>
      </c>
      <c r="D6" s="8" t="s">
        <v>32</v>
      </c>
    </row>
    <row r="7" customFormat="false" ht="15" hidden="false" customHeight="false" outlineLevel="0" collapsed="false">
      <c r="A7" s="3" t="s">
        <v>33</v>
      </c>
      <c r="B7" s="10" t="n">
        <v>1</v>
      </c>
      <c r="C7" s="8" t="s">
        <v>34</v>
      </c>
      <c r="D7" s="8" t="s">
        <v>35</v>
      </c>
    </row>
    <row r="9" customFormat="false" ht="15" hidden="false" customHeight="false" outlineLevel="0" collapsed="false">
      <c r="A9" s="5" t="s">
        <v>36</v>
      </c>
      <c r="B9" s="6"/>
      <c r="C9" s="6"/>
      <c r="D9" s="6"/>
    </row>
    <row r="10" customFormat="false" ht="15" hidden="false" customHeight="false" outlineLevel="0" collapsed="false">
      <c r="A10" s="3" t="s">
        <v>37</v>
      </c>
      <c r="B10" s="10" t="n">
        <v>0.7</v>
      </c>
      <c r="C10" s="8" t="s">
        <v>38</v>
      </c>
      <c r="D10" s="8" t="s">
        <v>39</v>
      </c>
    </row>
    <row r="11" customFormat="false" ht="15" hidden="false" customHeight="false" outlineLevel="0" collapsed="false">
      <c r="A11" s="3" t="s">
        <v>40</v>
      </c>
      <c r="B11" s="10" t="n">
        <v>0.13</v>
      </c>
      <c r="C11" s="8" t="s">
        <v>38</v>
      </c>
      <c r="D11" s="8" t="s">
        <v>41</v>
      </c>
    </row>
    <row r="12" customFormat="false" ht="15" hidden="false" customHeight="false" outlineLevel="0" collapsed="false">
      <c r="A12" s="3" t="s">
        <v>42</v>
      </c>
      <c r="B12" s="10" t="n">
        <v>0.21</v>
      </c>
      <c r="C12" s="8" t="s">
        <v>43</v>
      </c>
      <c r="D12" s="8" t="s">
        <v>44</v>
      </c>
    </row>
    <row r="14" customFormat="false" ht="15" hidden="false" customHeight="false" outlineLevel="0" collapsed="false">
      <c r="A14" s="5" t="s">
        <v>45</v>
      </c>
      <c r="B14" s="6"/>
      <c r="C14" s="6"/>
      <c r="D14" s="6"/>
    </row>
    <row r="15" customFormat="false" ht="15" hidden="false" customHeight="false" outlineLevel="0" collapsed="false">
      <c r="A15" s="3" t="s">
        <v>46</v>
      </c>
      <c r="B15" s="7" t="n">
        <v>248</v>
      </c>
      <c r="C15" s="8" t="s">
        <v>25</v>
      </c>
      <c r="D15" s="8" t="s">
        <v>47</v>
      </c>
    </row>
    <row r="16" customFormat="false" ht="15" hidden="false" customHeight="false" outlineLevel="0" collapsed="false">
      <c r="A16" s="3" t="s">
        <v>48</v>
      </c>
      <c r="B16" s="7" t="n">
        <v>6</v>
      </c>
      <c r="C16" s="8" t="s">
        <v>49</v>
      </c>
      <c r="D16" s="8" t="s">
        <v>50</v>
      </c>
    </row>
    <row r="17" customFormat="false" ht="15" hidden="false" customHeight="false" outlineLevel="0" collapsed="false">
      <c r="A17" s="3" t="s">
        <v>51</v>
      </c>
      <c r="B17" s="11" t="n">
        <v>22.5</v>
      </c>
      <c r="C17" s="8" t="s">
        <v>52</v>
      </c>
      <c r="D17" s="8" t="s">
        <v>53</v>
      </c>
    </row>
    <row r="18" customFormat="false" ht="15" hidden="false" customHeight="false" outlineLevel="0" collapsed="false">
      <c r="A18" s="3" t="s">
        <v>54</v>
      </c>
      <c r="B18" s="12" t="n">
        <v>5</v>
      </c>
      <c r="C18" s="8" t="s">
        <v>55</v>
      </c>
      <c r="D18" s="8" t="s">
        <v>56</v>
      </c>
    </row>
    <row r="20" customFormat="false" ht="15" hidden="false" customHeight="false" outlineLevel="0" collapsed="false">
      <c r="A20" s="5" t="s">
        <v>57</v>
      </c>
      <c r="B20" s="6"/>
      <c r="C20" s="6"/>
      <c r="D20" s="6"/>
    </row>
    <row r="21" customFormat="false" ht="15" hidden="false" customHeight="false" outlineLevel="0" collapsed="false">
      <c r="A21" s="3" t="s">
        <v>58</v>
      </c>
      <c r="B21" s="12" t="n">
        <v>5</v>
      </c>
      <c r="C21" s="8" t="s">
        <v>59</v>
      </c>
      <c r="D21" s="8" t="s">
        <v>60</v>
      </c>
    </row>
    <row r="22" customFormat="false" ht="15" hidden="false" customHeight="false" outlineLevel="0" collapsed="false">
      <c r="A22" s="3" t="s">
        <v>61</v>
      </c>
      <c r="B22" s="10" t="n">
        <v>0.08</v>
      </c>
      <c r="C22" s="8" t="s">
        <v>62</v>
      </c>
      <c r="D22" s="8" t="s">
        <v>63</v>
      </c>
    </row>
    <row r="23" customFormat="false" ht="15" hidden="false" customHeight="false" outlineLevel="0" collapsed="false">
      <c r="A23" s="3" t="s">
        <v>64</v>
      </c>
      <c r="B23" s="7" t="n">
        <v>388</v>
      </c>
      <c r="C23" s="8" t="s">
        <v>28</v>
      </c>
      <c r="D23" s="8" t="s">
        <v>65</v>
      </c>
    </row>
    <row r="25" customFormat="false" ht="15" hidden="false" customHeight="false" outlineLevel="0" collapsed="false">
      <c r="A25" s="5" t="s">
        <v>66</v>
      </c>
      <c r="B25" s="6"/>
      <c r="C25" s="6"/>
      <c r="D25" s="6"/>
    </row>
    <row r="26" customFormat="false" ht="15" hidden="false" customHeight="false" outlineLevel="0" collapsed="false">
      <c r="A26" s="3" t="s">
        <v>67</v>
      </c>
      <c r="B26" s="13" t="n">
        <v>11</v>
      </c>
      <c r="C26" s="8" t="s">
        <v>68</v>
      </c>
      <c r="D26" s="8" t="s">
        <v>69</v>
      </c>
    </row>
    <row r="27" customFormat="false" ht="15" hidden="false" customHeight="false" outlineLevel="0" collapsed="false">
      <c r="A27" s="3" t="s">
        <v>70</v>
      </c>
      <c r="B27" s="13" t="n">
        <v>16</v>
      </c>
      <c r="C27" s="8" t="s">
        <v>68</v>
      </c>
      <c r="D27" s="8" t="s">
        <v>71</v>
      </c>
    </row>
    <row r="28" customFormat="false" ht="15" hidden="false" customHeight="false" outlineLevel="0" collapsed="false">
      <c r="A28" s="3" t="s">
        <v>72</v>
      </c>
      <c r="B28" s="13" t="n">
        <v>28</v>
      </c>
      <c r="C28" s="8" t="s">
        <v>68</v>
      </c>
      <c r="D28" s="8" t="s">
        <v>73</v>
      </c>
    </row>
    <row r="29" customFormat="false" ht="15" hidden="false" customHeight="false" outlineLevel="0" collapsed="false">
      <c r="A29" s="3" t="s">
        <v>74</v>
      </c>
      <c r="B29" s="10" t="n">
        <v>0.5</v>
      </c>
      <c r="C29" s="8" t="s">
        <v>75</v>
      </c>
      <c r="D29" s="8" t="s">
        <v>76</v>
      </c>
    </row>
    <row r="30" customFormat="false" ht="15" hidden="false" customHeight="false" outlineLevel="0" collapsed="false">
      <c r="A30" s="3" t="s">
        <v>77</v>
      </c>
      <c r="B30" s="10" t="n">
        <v>0.35</v>
      </c>
      <c r="C30" s="8" t="s">
        <v>75</v>
      </c>
    </row>
    <row r="31" customFormat="false" ht="15" hidden="false" customHeight="false" outlineLevel="0" collapsed="false">
      <c r="A31" s="3" t="s">
        <v>78</v>
      </c>
      <c r="B31" s="10" t="n">
        <v>0.15</v>
      </c>
      <c r="C31" s="8" t="s">
        <v>75</v>
      </c>
    </row>
    <row r="33" customFormat="false" ht="15" hidden="false" customHeight="false" outlineLevel="0" collapsed="false">
      <c r="A33" s="5" t="s">
        <v>79</v>
      </c>
      <c r="B33" s="6"/>
      <c r="C33" s="6"/>
      <c r="D33" s="6"/>
    </row>
    <row r="34" customFormat="false" ht="15" hidden="false" customHeight="false" outlineLevel="0" collapsed="false">
      <c r="A34" s="3" t="s">
        <v>80</v>
      </c>
      <c r="B34" s="11" t="n">
        <v>250</v>
      </c>
      <c r="C34" s="8" t="s">
        <v>81</v>
      </c>
      <c r="D34" s="8" t="s">
        <v>82</v>
      </c>
    </row>
    <row r="35" customFormat="false" ht="15" hidden="false" customHeight="false" outlineLevel="0" collapsed="false">
      <c r="A35" s="3" t="s">
        <v>83</v>
      </c>
      <c r="B35" s="7" t="n">
        <v>8</v>
      </c>
      <c r="C35" s="8" t="s">
        <v>84</v>
      </c>
      <c r="D35" s="8" t="s">
        <v>85</v>
      </c>
    </row>
    <row r="36" customFormat="false" ht="15" hidden="false" customHeight="false" outlineLevel="0" collapsed="false">
      <c r="A36" s="3" t="s">
        <v>86</v>
      </c>
      <c r="B36" s="14" t="s">
        <v>87</v>
      </c>
      <c r="D36" s="8" t="s">
        <v>88</v>
      </c>
    </row>
    <row r="38" customFormat="false" ht="15" hidden="false" customHeight="false" outlineLevel="0" collapsed="false">
      <c r="A38" s="5" t="s">
        <v>89</v>
      </c>
      <c r="B38" s="6"/>
      <c r="C38" s="6"/>
      <c r="D38" s="6"/>
    </row>
    <row r="39" customFormat="false" ht="15" hidden="false" customHeight="false" outlineLevel="0" collapsed="false">
      <c r="A39" s="3" t="s">
        <v>90</v>
      </c>
      <c r="B39" s="15" t="n">
        <v>61.95</v>
      </c>
      <c r="C39" s="8" t="s">
        <v>91</v>
      </c>
      <c r="D39" s="8" t="s">
        <v>92</v>
      </c>
    </row>
    <row r="40" customFormat="false" ht="15" hidden="false" customHeight="false" outlineLevel="0" collapsed="false">
      <c r="A40" s="3" t="s">
        <v>93</v>
      </c>
      <c r="B40" s="12" t="n">
        <v>24.04</v>
      </c>
      <c r="C40" s="8" t="s">
        <v>59</v>
      </c>
      <c r="D40" s="8" t="s">
        <v>94</v>
      </c>
    </row>
    <row r="42" customFormat="false" ht="15" hidden="false" customHeight="false" outlineLevel="0" collapsed="false">
      <c r="A42" s="5" t="s">
        <v>95</v>
      </c>
      <c r="B42" s="6"/>
      <c r="C42" s="6"/>
      <c r="D42" s="6"/>
    </row>
    <row r="43" customFormat="false" ht="15" hidden="false" customHeight="false" outlineLevel="0" collapsed="false">
      <c r="A43" s="3" t="s">
        <v>96</v>
      </c>
      <c r="B43" s="7" t="n">
        <v>6</v>
      </c>
      <c r="C43" s="8" t="s">
        <v>49</v>
      </c>
      <c r="D43" s="8" t="s">
        <v>97</v>
      </c>
    </row>
    <row r="44" customFormat="false" ht="15" hidden="false" customHeight="false" outlineLevel="0" collapsed="false">
      <c r="A44" s="3" t="s">
        <v>98</v>
      </c>
      <c r="B44" s="10" t="n">
        <v>0.15</v>
      </c>
      <c r="C44" s="8" t="s">
        <v>99</v>
      </c>
      <c r="D44" s="8" t="s">
        <v>100</v>
      </c>
    </row>
    <row r="46" customFormat="false" ht="15" hidden="false" customHeight="false" outlineLevel="0" collapsed="false">
      <c r="A46" s="5" t="s">
        <v>101</v>
      </c>
      <c r="B46" s="6"/>
      <c r="C46" s="6"/>
      <c r="D46" s="6"/>
    </row>
    <row r="47" customFormat="false" ht="15" hidden="false" customHeight="false" outlineLevel="0" collapsed="false">
      <c r="A47" s="16" t="s">
        <v>102</v>
      </c>
      <c r="B47" s="16" t="s">
        <v>103</v>
      </c>
      <c r="C47" s="16" t="s">
        <v>104</v>
      </c>
      <c r="D47" s="16" t="s">
        <v>105</v>
      </c>
    </row>
    <row r="48" customFormat="false" ht="15" hidden="false" customHeight="false" outlineLevel="0" collapsed="false">
      <c r="A48" s="3" t="s">
        <v>106</v>
      </c>
      <c r="B48" s="11" t="n">
        <v>3.5</v>
      </c>
      <c r="C48" s="15" t="n">
        <v>27</v>
      </c>
      <c r="D48" s="17" t="n">
        <f aca="false">B48/C48</f>
        <v>0.12962962962963</v>
      </c>
    </row>
    <row r="49" customFormat="false" ht="15" hidden="false" customHeight="false" outlineLevel="0" collapsed="false">
      <c r="A49" s="3" t="s">
        <v>107</v>
      </c>
      <c r="B49" s="11" t="n">
        <v>325</v>
      </c>
      <c r="C49" s="15" t="n">
        <v>72.07</v>
      </c>
      <c r="D49" s="17" t="n">
        <f aca="false">B49/C49</f>
        <v>4.50950464825864</v>
      </c>
    </row>
    <row r="50" customFormat="false" ht="15" hidden="false" customHeight="false" outlineLevel="0" collapsed="false">
      <c r="A50" s="3" t="s">
        <v>108</v>
      </c>
      <c r="B50" s="11" t="n">
        <v>1000</v>
      </c>
      <c r="C50" s="15" t="n">
        <v>116.3</v>
      </c>
      <c r="D50" s="17" t="n">
        <f aca="false">B50/C50</f>
        <v>8.59845227858985</v>
      </c>
    </row>
    <row r="51" customFormat="false" ht="15" hidden="false" customHeight="false" outlineLevel="0" collapsed="false">
      <c r="A51" s="3" t="s">
        <v>109</v>
      </c>
      <c r="B51" s="11" t="n">
        <v>1150</v>
      </c>
      <c r="C51" s="15" t="n">
        <v>79.57</v>
      </c>
      <c r="D51" s="17" t="n">
        <f aca="false">B51/C51</f>
        <v>14.4526831720498</v>
      </c>
    </row>
    <row r="52" customFormat="false" ht="15" hidden="false" customHeight="false" outlineLevel="0" collapsed="false">
      <c r="A52" s="2" t="s">
        <v>110</v>
      </c>
      <c r="D52" s="18" t="n">
        <f aca="false">SUM(D48:D51)</f>
        <v>27.6902697285279</v>
      </c>
    </row>
    <row r="53" customFormat="false" ht="15" hidden="false" customHeight="false" outlineLevel="0" collapsed="false">
      <c r="A53" s="3" t="s">
        <v>111</v>
      </c>
      <c r="B53" s="10" t="n">
        <v>1</v>
      </c>
      <c r="C53" s="8" t="s">
        <v>62</v>
      </c>
      <c r="D53" s="8" t="s">
        <v>112</v>
      </c>
    </row>
    <row r="54" customFormat="false" ht="15" hidden="false" customHeight="false" outlineLevel="0" collapsed="false">
      <c r="A54" s="3" t="s">
        <v>113</v>
      </c>
      <c r="B54" s="10" t="n">
        <v>0</v>
      </c>
      <c r="C54" s="8" t="s">
        <v>62</v>
      </c>
      <c r="D54" s="8" t="s">
        <v>114</v>
      </c>
    </row>
    <row r="55" customFormat="false" ht="15" hidden="false" customHeight="false" outlineLevel="0" collapsed="false">
      <c r="A55" s="3" t="s">
        <v>115</v>
      </c>
      <c r="B55" s="19" t="n">
        <f aca="false">B23*(1+B54)+D52*B53</f>
        <v>415.690269728528</v>
      </c>
      <c r="C55" s="8" t="s">
        <v>28</v>
      </c>
      <c r="D55" s="8" t="s">
        <v>116</v>
      </c>
    </row>
    <row r="56" customFormat="false" ht="15" hidden="false" customHeight="false" outlineLevel="0" collapsed="false">
      <c r="A56" s="8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4"/>
    <col collapsed="false" customWidth="true" hidden="false" outlineLevel="0" max="4" min="4" style="0" width="58"/>
  </cols>
  <sheetData>
    <row r="1" customFormat="false" ht="17.35" hidden="false" customHeight="false" outlineLevel="0" collapsed="false">
      <c r="A1" s="1" t="s">
        <v>118</v>
      </c>
      <c r="B1" s="4"/>
      <c r="C1" s="4"/>
      <c r="D1" s="4"/>
    </row>
    <row r="3" customFormat="false" ht="15" hidden="false" customHeight="false" outlineLevel="0" collapsed="false">
      <c r="A3" s="5" t="s">
        <v>119</v>
      </c>
      <c r="B3" s="6"/>
      <c r="C3" s="6"/>
      <c r="D3" s="6"/>
    </row>
    <row r="4" customFormat="false" ht="15" hidden="false" customHeight="false" outlineLevel="0" collapsed="false">
      <c r="A4" s="3" t="s">
        <v>120</v>
      </c>
      <c r="B4" s="20" t="n">
        <f aca="false">Inputs!$B$5/1000*Inputs!$B$6*12*Inputs!$B$7</f>
        <v>60</v>
      </c>
      <c r="D4" s="8" t="s">
        <v>121</v>
      </c>
    </row>
    <row r="5" customFormat="false" ht="15" hidden="false" customHeight="false" outlineLevel="0" collapsed="false">
      <c r="A5" s="3" t="s">
        <v>122</v>
      </c>
      <c r="B5" s="21" t="n">
        <f aca="false">B4*Inputs!$B$10</f>
        <v>42</v>
      </c>
      <c r="D5" s="8" t="s">
        <v>123</v>
      </c>
    </row>
    <row r="6" customFormat="false" ht="15" hidden="false" customHeight="false" outlineLevel="0" collapsed="false">
      <c r="A6" s="3" t="s">
        <v>40</v>
      </c>
      <c r="B6" s="21" t="n">
        <f aca="false">B4*Inputs!$B$11</f>
        <v>7.8</v>
      </c>
      <c r="D6" s="8" t="s">
        <v>124</v>
      </c>
    </row>
    <row r="7" customFormat="false" ht="15" hidden="false" customHeight="false" outlineLevel="0" collapsed="false">
      <c r="A7" s="3" t="s">
        <v>125</v>
      </c>
      <c r="B7" s="22" t="n">
        <f aca="false">B5-B6</f>
        <v>34.2</v>
      </c>
      <c r="D7" s="8" t="s">
        <v>126</v>
      </c>
    </row>
    <row r="8" customFormat="false" ht="15" hidden="false" customHeight="false" outlineLevel="0" collapsed="false">
      <c r="A8" s="3" t="s">
        <v>127</v>
      </c>
      <c r="B8" s="21" t="n">
        <f aca="false">Inputs!$B$4*Inputs!$B$17/Inputs!$B$16/1000</f>
        <v>0.93</v>
      </c>
      <c r="D8" s="8" t="s">
        <v>128</v>
      </c>
    </row>
    <row r="9" customFormat="false" ht="15" hidden="false" customHeight="false" outlineLevel="0" collapsed="false">
      <c r="A9" s="3" t="s">
        <v>129</v>
      </c>
      <c r="B9" s="21" t="n">
        <f aca="false">Inputs!$B$18*Inputs!$B$4/Inputs!$B$15</f>
        <v>5</v>
      </c>
      <c r="D9" s="8" t="s">
        <v>130</v>
      </c>
    </row>
    <row r="10" customFormat="false" ht="15" hidden="false" customHeight="false" outlineLevel="0" collapsed="false">
      <c r="A10" s="3" t="s">
        <v>131</v>
      </c>
      <c r="B10" s="21" t="n">
        <f aca="false">B7-B8-B9</f>
        <v>28.27</v>
      </c>
      <c r="D10" s="8" t="s">
        <v>132</v>
      </c>
    </row>
    <row r="11" customFormat="false" ht="15" hidden="false" customHeight="false" outlineLevel="0" collapsed="false">
      <c r="A11" s="3" t="s">
        <v>133</v>
      </c>
      <c r="B11" s="21" t="n">
        <f aca="false">Inputs!$B$21*Inputs!$B$22</f>
        <v>0.4</v>
      </c>
      <c r="D11" s="8" t="s">
        <v>134</v>
      </c>
    </row>
    <row r="12" customFormat="false" ht="15" hidden="false" customHeight="false" outlineLevel="0" collapsed="false">
      <c r="A12" s="3" t="s">
        <v>135</v>
      </c>
      <c r="B12" s="21" t="n">
        <f aca="false">B10-B11</f>
        <v>27.87</v>
      </c>
    </row>
    <row r="13" customFormat="false" ht="15" hidden="false" customHeight="false" outlineLevel="0" collapsed="false">
      <c r="A13" s="3" t="s">
        <v>136</v>
      </c>
      <c r="B13" s="22" t="n">
        <f aca="false">IF(B12&gt;0,B12*(1-Inputs!$B$12),B12)</f>
        <v>22.0173</v>
      </c>
      <c r="D13" s="8" t="s">
        <v>137</v>
      </c>
    </row>
    <row r="15" customFormat="false" ht="15" hidden="false" customHeight="false" outlineLevel="0" collapsed="false">
      <c r="A15" s="5" t="s">
        <v>138</v>
      </c>
      <c r="B15" s="6"/>
      <c r="C15" s="6"/>
      <c r="D15" s="6"/>
    </row>
    <row r="16" customFormat="false" ht="15" hidden="false" customHeight="false" outlineLevel="0" collapsed="false">
      <c r="A16" s="3" t="s">
        <v>139</v>
      </c>
      <c r="B16" s="23" t="n">
        <f aca="false">Inputs!$B$4/Inputs!$B$16</f>
        <v>41.3333333333333</v>
      </c>
      <c r="C16" s="8" t="s">
        <v>140</v>
      </c>
      <c r="D16" s="8" t="s">
        <v>141</v>
      </c>
    </row>
    <row r="17" customFormat="false" ht="15" hidden="false" customHeight="false" outlineLevel="0" collapsed="false">
      <c r="A17" s="3" t="s">
        <v>142</v>
      </c>
      <c r="B17" s="21" t="n">
        <f aca="false">B16*Inputs!$B$17/1000</f>
        <v>0.93</v>
      </c>
      <c r="C17" s="8" t="s">
        <v>55</v>
      </c>
      <c r="D17" s="8" t="s">
        <v>143</v>
      </c>
    </row>
    <row r="18" customFormat="false" ht="15" hidden="false" customHeight="false" outlineLevel="0" collapsed="false">
      <c r="A18" s="3" t="s">
        <v>144</v>
      </c>
      <c r="B18" s="24" t="n">
        <f aca="false">MAX(0,Inputs!$B$15-Inputs!$B$4)</f>
        <v>0</v>
      </c>
      <c r="C18" s="8" t="s">
        <v>25</v>
      </c>
      <c r="D18" s="8" t="s">
        <v>145</v>
      </c>
    </row>
    <row r="19" customFormat="false" ht="15" hidden="false" customHeight="false" outlineLevel="0" collapsed="false">
      <c r="A19" s="3" t="s">
        <v>146</v>
      </c>
      <c r="B19" s="21" t="n">
        <f aca="false">B18*Inputs!$B$17/1000</f>
        <v>0</v>
      </c>
      <c r="C19" s="8" t="s">
        <v>59</v>
      </c>
      <c r="D19" s="8" t="s">
        <v>147</v>
      </c>
    </row>
    <row r="20" customFormat="false" ht="15" hidden="false" customHeight="false" outlineLevel="0" collapsed="false">
      <c r="A20" s="3" t="s">
        <v>148</v>
      </c>
      <c r="B20" s="21" t="n">
        <f aca="false">Inputs!$B$4*Inputs!$B$17/1000</f>
        <v>5.58</v>
      </c>
      <c r="C20" s="8" t="s">
        <v>59</v>
      </c>
      <c r="D20" s="8" t="s">
        <v>149</v>
      </c>
    </row>
    <row r="22" customFormat="false" ht="15" hidden="false" customHeight="false" outlineLevel="0" collapsed="false">
      <c r="A22" s="5" t="s">
        <v>150</v>
      </c>
      <c r="B22" s="6"/>
      <c r="C22" s="6"/>
      <c r="D22" s="6"/>
    </row>
    <row r="23" customFormat="false" ht="15" hidden="false" customHeight="false" outlineLevel="0" collapsed="false">
      <c r="A23" s="3" t="s">
        <v>151</v>
      </c>
      <c r="B23" s="21" t="n">
        <f aca="false">B5*Inputs!$B$26-Inputs!$B$21</f>
        <v>457</v>
      </c>
      <c r="D23" s="8" t="s">
        <v>152</v>
      </c>
    </row>
    <row r="24" customFormat="false" ht="15" hidden="false" customHeight="false" outlineLevel="0" collapsed="false">
      <c r="A24" s="3" t="s">
        <v>153</v>
      </c>
      <c r="B24" s="21" t="n">
        <f aca="false">B7*Inputs!$B$27-Inputs!$B$21</f>
        <v>542.2</v>
      </c>
      <c r="D24" s="8" t="s">
        <v>154</v>
      </c>
    </row>
    <row r="25" customFormat="false" ht="15" hidden="false" customHeight="false" outlineLevel="0" collapsed="false">
      <c r="A25" s="3" t="s">
        <v>155</v>
      </c>
      <c r="B25" s="21" t="n">
        <f aca="false">B13*Inputs!$B$28</f>
        <v>616.4844</v>
      </c>
      <c r="D25" s="8" t="s">
        <v>156</v>
      </c>
    </row>
    <row r="26" customFormat="false" ht="15" hidden="false" customHeight="false" outlineLevel="0" collapsed="false">
      <c r="A26" s="3" t="s">
        <v>157</v>
      </c>
      <c r="B26" s="25" t="n">
        <f aca="false">(B25*Inputs!$B$29+B24*Inputs!$B$30+B23*Inputs!$B$31)/(Inputs!$B$29+Inputs!$B$30+Inputs!$B$31)</f>
        <v>566.5622</v>
      </c>
      <c r="D26" s="8" t="s">
        <v>158</v>
      </c>
    </row>
    <row r="28" customFormat="false" ht="15" hidden="false" customHeight="false" outlineLevel="0" collapsed="false">
      <c r="A28" s="5" t="s">
        <v>159</v>
      </c>
      <c r="B28" s="6"/>
      <c r="C28" s="6"/>
      <c r="D28" s="6"/>
    </row>
    <row r="29" customFormat="false" ht="15" hidden="false" customHeight="false" outlineLevel="0" collapsed="false">
      <c r="A29" s="3" t="s">
        <v>160</v>
      </c>
      <c r="B29" s="26" t="n">
        <f aca="false">B23*1000/Inputs!$B$55</f>
        <v>1099.37622619469</v>
      </c>
      <c r="C29" s="8" t="s">
        <v>91</v>
      </c>
    </row>
    <row r="30" customFormat="false" ht="15" hidden="false" customHeight="false" outlineLevel="0" collapsed="false">
      <c r="A30" s="3" t="s">
        <v>161</v>
      </c>
      <c r="B30" s="26" t="n">
        <f aca="false">B24*1000/Inputs!$B$55</f>
        <v>1304.33652044367</v>
      </c>
      <c r="C30" s="8" t="s">
        <v>91</v>
      </c>
    </row>
    <row r="31" customFormat="false" ht="15" hidden="false" customHeight="false" outlineLevel="0" collapsed="false">
      <c r="A31" s="3" t="s">
        <v>162</v>
      </c>
      <c r="B31" s="26" t="n">
        <f aca="false">B25*1000/Inputs!$B$55</f>
        <v>1483.03784065623</v>
      </c>
      <c r="C31" s="8" t="s">
        <v>91</v>
      </c>
    </row>
    <row r="32" customFormat="false" ht="15" hidden="false" customHeight="false" outlineLevel="0" collapsed="false">
      <c r="A32" s="3" t="s">
        <v>163</v>
      </c>
      <c r="B32" s="27" t="n">
        <f aca="false">B26*1000/Inputs!$B$55</f>
        <v>1362.9431364126</v>
      </c>
      <c r="C32" s="8" t="s">
        <v>91</v>
      </c>
      <c r="D32" s="8" t="s">
        <v>164</v>
      </c>
    </row>
    <row r="33" customFormat="false" ht="15" hidden="false" customHeight="false" outlineLevel="0" collapsed="false">
      <c r="A33" s="3" t="s">
        <v>165</v>
      </c>
      <c r="B33" s="28" t="n">
        <f aca="false">B32/Inputs!$B$39</f>
        <v>22.0006963101308</v>
      </c>
      <c r="C33" s="8" t="s">
        <v>68</v>
      </c>
      <c r="D33" s="8" t="s">
        <v>166</v>
      </c>
    </row>
    <row r="35" customFormat="false" ht="15" hidden="false" customHeight="false" outlineLevel="0" collapsed="false">
      <c r="A35" s="5" t="s">
        <v>167</v>
      </c>
      <c r="B35" s="6"/>
      <c r="C35" s="6"/>
      <c r="D35" s="6"/>
    </row>
    <row r="36" customFormat="false" ht="15" hidden="false" customHeight="false" outlineLevel="0" collapsed="false">
      <c r="A36" s="3" t="s">
        <v>168</v>
      </c>
      <c r="B36" s="29" t="n">
        <f aca="false">B4*1000/Inputs!$B$4</f>
        <v>241.935483870968</v>
      </c>
      <c r="C36" s="8" t="s">
        <v>81</v>
      </c>
      <c r="D36" s="8" t="s">
        <v>169</v>
      </c>
    </row>
    <row r="37" customFormat="false" ht="15" hidden="false" customHeight="false" outlineLevel="0" collapsed="false">
      <c r="A37" s="3" t="s">
        <v>170</v>
      </c>
      <c r="B37" s="29" t="n">
        <f aca="false">B4*1000/Inputs!$B$15</f>
        <v>241.935483870968</v>
      </c>
      <c r="C37" s="8" t="s">
        <v>81</v>
      </c>
      <c r="D37" s="8" t="s">
        <v>171</v>
      </c>
    </row>
    <row r="38" customFormat="false" ht="15" hidden="false" customHeight="false" outlineLevel="0" collapsed="false">
      <c r="A38" s="3" t="s">
        <v>172</v>
      </c>
      <c r="B38" s="30" t="str">
        <f aca="false">IF(B36&gt;Inputs!$B$34,"FLAG: exceeds max plausible $/sat - add sats or cut subs/ARPU","OK")</f>
        <v>OK</v>
      </c>
    </row>
    <row r="39" customFormat="false" ht="15" hidden="false" customHeight="false" outlineLevel="0" collapsed="false">
      <c r="A39" s="3" t="s">
        <v>173</v>
      </c>
      <c r="B39" s="28" t="n">
        <f aca="false">(B26+Inputs!$B$21)/B4</f>
        <v>9.52603666666667</v>
      </c>
      <c r="C39" s="8" t="s">
        <v>68</v>
      </c>
      <c r="D39" s="8" t="s">
        <v>174</v>
      </c>
    </row>
    <row r="40" customFormat="false" ht="15" hidden="false" customHeight="false" outlineLevel="0" collapsed="false">
      <c r="A40" s="3" t="s">
        <v>175</v>
      </c>
      <c r="B40" s="30" t="str">
        <f aca="false">IF(B39&gt;4,"ABOVE telecom range (growth premium priced in)",IF(B39&lt;2,"BELOW telecom range (conservative)","Within mature telecom 2x-4x"))</f>
        <v>ABOVE telecom range (growth premium priced in)</v>
      </c>
    </row>
    <row r="41" customFormat="false" ht="15" hidden="false" customHeight="false" outlineLevel="0" collapsed="false">
      <c r="A41" s="3" t="s">
        <v>176</v>
      </c>
      <c r="B41" s="24" t="n">
        <f aca="false">Inputs!$B$4*Inputs!$B$35</f>
        <v>1984</v>
      </c>
      <c r="C41" s="8" t="s">
        <v>177</v>
      </c>
      <c r="D41" s="8" t="s">
        <v>178</v>
      </c>
    </row>
    <row r="42" customFormat="false" ht="15" hidden="false" customHeight="false" outlineLevel="0" collapsed="false">
      <c r="A42" s="3" t="s">
        <v>179</v>
      </c>
      <c r="B42" s="30" t="str">
        <f aca="false">IF(Inputs!$B$5&gt;B41,"FLAG: subs exceed fleet capacity - needs more sats","OK")</f>
        <v>OK</v>
      </c>
    </row>
    <row r="44" customFormat="false" ht="15" hidden="false" customHeight="false" outlineLevel="0" collapsed="false">
      <c r="A44" s="5" t="s">
        <v>180</v>
      </c>
      <c r="B44" s="6"/>
      <c r="C44" s="6"/>
      <c r="D44" s="6"/>
    </row>
    <row r="45" customFormat="false" ht="15" hidden="false" customHeight="false" outlineLevel="0" collapsed="false">
      <c r="A45" s="3" t="s">
        <v>181</v>
      </c>
      <c r="B45" s="31" t="n">
        <f aca="false">1/POWER(1+Inputs!$B$44,Inputs!$B$43)</f>
        <v>0.432327595911556</v>
      </c>
      <c r="C45" s="8" t="s">
        <v>68</v>
      </c>
      <c r="D45" s="8" t="s">
        <v>182</v>
      </c>
    </row>
    <row r="46" customFormat="false" ht="15" hidden="false" customHeight="false" outlineLevel="0" collapsed="false">
      <c r="A46" s="3" t="s">
        <v>183</v>
      </c>
      <c r="B46" s="27" t="n">
        <f aca="false">B32*B45</f>
        <v>589.237929529417</v>
      </c>
      <c r="C46" s="8" t="s">
        <v>91</v>
      </c>
      <c r="D46" s="8" t="s">
        <v>184</v>
      </c>
    </row>
    <row r="47" customFormat="false" ht="15" hidden="false" customHeight="false" outlineLevel="0" collapsed="false">
      <c r="A47" s="3" t="s">
        <v>185</v>
      </c>
      <c r="B47" s="21" t="n">
        <f aca="false">B26*B45</f>
        <v>244.940473860362</v>
      </c>
      <c r="C47" s="8" t="s">
        <v>59</v>
      </c>
    </row>
    <row r="48" customFormat="false" ht="15" hidden="false" customHeight="false" outlineLevel="0" collapsed="false">
      <c r="A48" s="3" t="s">
        <v>186</v>
      </c>
      <c r="B48" s="28" t="n">
        <f aca="false">B46/Inputs!$B$39</f>
        <v>9.51150814413909</v>
      </c>
      <c r="C48" s="8" t="s">
        <v>68</v>
      </c>
      <c r="D48" s="8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10" min="8" style="0" width="12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6" min="15" style="0" width="12"/>
    <col collapsed="false" customWidth="true" hidden="false" outlineLevel="0" max="17" min="17" style="0" width="9"/>
    <col collapsed="false" customWidth="true" hidden="false" outlineLevel="0" max="18" min="18" style="0" width="13"/>
  </cols>
  <sheetData>
    <row r="1" customFormat="false" ht="17.35" hidden="false" customHeight="false" outlineLevel="0" collapsed="false">
      <c r="A1" s="1" t="s">
        <v>188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customFormat="false" ht="15" hidden="false" customHeight="false" outlineLevel="0" collapsed="false">
      <c r="A2" s="8" t="s">
        <v>189</v>
      </c>
    </row>
    <row r="4" customFormat="false" ht="15" hidden="false" customHeight="false" outlineLevel="0" collapsed="false">
      <c r="A4" s="16" t="s">
        <v>190</v>
      </c>
      <c r="B4" s="16" t="s">
        <v>191</v>
      </c>
      <c r="C4" s="16" t="s">
        <v>192</v>
      </c>
      <c r="D4" s="16" t="s">
        <v>30</v>
      </c>
      <c r="E4" s="16" t="s">
        <v>193</v>
      </c>
      <c r="F4" s="16" t="s">
        <v>194</v>
      </c>
      <c r="G4" s="16" t="s">
        <v>195</v>
      </c>
      <c r="H4" s="16" t="s">
        <v>196</v>
      </c>
      <c r="I4" s="16" t="s">
        <v>197</v>
      </c>
      <c r="J4" s="16" t="s">
        <v>198</v>
      </c>
      <c r="K4" s="16" t="s">
        <v>199</v>
      </c>
      <c r="L4" s="16" t="s">
        <v>200</v>
      </c>
      <c r="M4" s="16" t="s">
        <v>201</v>
      </c>
      <c r="N4" s="16" t="s">
        <v>202</v>
      </c>
      <c r="O4" s="16" t="s">
        <v>203</v>
      </c>
      <c r="P4" s="16" t="s">
        <v>204</v>
      </c>
      <c r="Q4" s="16" t="s">
        <v>205</v>
      </c>
      <c r="R4" s="16" t="s">
        <v>206</v>
      </c>
    </row>
    <row r="5" customFormat="false" ht="15" hidden="false" customHeight="false" outlineLevel="0" collapsed="false">
      <c r="A5" s="3" t="s">
        <v>207</v>
      </c>
      <c r="B5" s="7" t="n">
        <v>45</v>
      </c>
      <c r="C5" s="7" t="n">
        <v>50</v>
      </c>
      <c r="D5" s="9" t="n">
        <v>3</v>
      </c>
      <c r="E5" s="13" t="n">
        <v>20</v>
      </c>
      <c r="F5" s="13" t="n">
        <v>30</v>
      </c>
      <c r="G5" s="13" t="n">
        <v>50</v>
      </c>
      <c r="H5" s="21" t="n">
        <f aca="false">C5/1000*D5*12*Inputs!$B$7</f>
        <v>1.8</v>
      </c>
      <c r="I5" s="21" t="n">
        <f aca="false">H5*(Inputs!$B$10-Inputs!$B$11)</f>
        <v>1.026</v>
      </c>
      <c r="J5" s="21" t="n">
        <f aca="false">IF(H5*(Inputs!$B$10-Inputs!$B$11)-B5*Inputs!$B$17/Inputs!$B$16/1000-Inputs!$B$18*B5/Inputs!$B$15-Inputs!$B$21*Inputs!$B$22&gt;0,(H5*(Inputs!$B$10-Inputs!$B$11)-B5*Inputs!$B$17/Inputs!$B$16/1000-Inputs!$B$18*B5/Inputs!$B$15-Inputs!$B$21*Inputs!$B$22)*(1-Inputs!$B$12),H5*(Inputs!$B$10-Inputs!$B$11)-B5*Inputs!$B$17/Inputs!$B$16/1000-Inputs!$B$18*B5/Inputs!$B$15-Inputs!$B$21*Inputs!$B$22)</f>
        <v>-0.450008064516129</v>
      </c>
      <c r="K5" s="21" t="n">
        <f aca="false">H5*Inputs!$B$10*E5-Inputs!$B$21</f>
        <v>20.2</v>
      </c>
      <c r="L5" s="21" t="n">
        <f aca="false">I5*F5-Inputs!$B$21</f>
        <v>25.78</v>
      </c>
      <c r="M5" s="21" t="n">
        <f aca="false">J5*G5</f>
        <v>-22.5004032258064</v>
      </c>
      <c r="N5" s="25" t="n">
        <f aca="false">(M5*Inputs!$B$29+L5*Inputs!$B$30+K5*Inputs!$B$31)/(Inputs!$B$29+Inputs!$B$30+Inputs!$B$31)</f>
        <v>0.802798387096776</v>
      </c>
      <c r="O5" s="27" t="n">
        <f aca="false">N5*1000/Inputs!$B$55</f>
        <v>1.93124170941277</v>
      </c>
      <c r="P5" s="29" t="n">
        <f aca="false">H5*1000/B5</f>
        <v>40</v>
      </c>
      <c r="Q5" s="32" t="n">
        <v>1</v>
      </c>
      <c r="R5" s="27" t="n">
        <f aca="false">O5/POWER(1+Inputs!$B$44,Q5)</f>
        <v>1.67934061688067</v>
      </c>
    </row>
    <row r="6" customFormat="false" ht="15" hidden="false" customHeight="false" outlineLevel="0" collapsed="false">
      <c r="A6" s="3" t="s">
        <v>208</v>
      </c>
      <c r="B6" s="7" t="n">
        <v>90</v>
      </c>
      <c r="C6" s="7" t="n">
        <v>150</v>
      </c>
      <c r="D6" s="9" t="n">
        <v>3.5</v>
      </c>
      <c r="E6" s="13" t="n">
        <v>16</v>
      </c>
      <c r="F6" s="13" t="n">
        <v>24</v>
      </c>
      <c r="G6" s="13" t="n">
        <v>40</v>
      </c>
      <c r="H6" s="21" t="n">
        <f aca="false">C6/1000*D6*12*Inputs!$B$7</f>
        <v>6.3</v>
      </c>
      <c r="I6" s="21" t="n">
        <f aca="false">H6*(Inputs!$B$10-Inputs!$B$11)</f>
        <v>3.591</v>
      </c>
      <c r="J6" s="21" t="n">
        <f aca="false">IF(H6*(Inputs!$B$10-Inputs!$B$11)-B6*Inputs!$B$17/Inputs!$B$16/1000-Inputs!$B$18*B6/Inputs!$B$15-Inputs!$B$21*Inputs!$B$22&gt;0,(H6*(Inputs!$B$10-Inputs!$B$11)-B6*Inputs!$B$17/Inputs!$B$16/1000-Inputs!$B$18*B6/Inputs!$B$15-Inputs!$B$21*Inputs!$B$22)*(1-Inputs!$B$12),H6*(Inputs!$B$10-Inputs!$B$11)-B6*Inputs!$B$17/Inputs!$B$16/1000-Inputs!$B$18*B6/Inputs!$B$15-Inputs!$B$21*Inputs!$B$22)</f>
        <v>0.820797258064517</v>
      </c>
      <c r="K6" s="21" t="n">
        <f aca="false">H6*Inputs!$B$10*E6-Inputs!$B$21</f>
        <v>65.56</v>
      </c>
      <c r="L6" s="21" t="n">
        <f aca="false">I6*F6-Inputs!$B$21</f>
        <v>81.184</v>
      </c>
      <c r="M6" s="21" t="n">
        <f aca="false">J6*G6</f>
        <v>32.8318903225807</v>
      </c>
      <c r="N6" s="25" t="n">
        <f aca="false">(M6*Inputs!$B$29+L6*Inputs!$B$30+K6*Inputs!$B$31)/(Inputs!$B$29+Inputs!$B$30+Inputs!$B$31)</f>
        <v>54.6643451612903</v>
      </c>
      <c r="O6" s="27" t="n">
        <f aca="false">N6*1000/Inputs!$B$55</f>
        <v>131.502585319088</v>
      </c>
      <c r="P6" s="29" t="n">
        <f aca="false">H6*1000/B6</f>
        <v>70</v>
      </c>
      <c r="Q6" s="32" t="n">
        <v>2.5</v>
      </c>
      <c r="R6" s="27" t="n">
        <f aca="false">O6/POWER(1+Inputs!$B$44,Q6)</f>
        <v>92.7234730480767</v>
      </c>
    </row>
    <row r="7" customFormat="false" ht="15" hidden="false" customHeight="false" outlineLevel="0" collapsed="false">
      <c r="A7" s="3" t="s">
        <v>209</v>
      </c>
      <c r="B7" s="7" t="n">
        <v>168</v>
      </c>
      <c r="C7" s="7" t="n">
        <v>500</v>
      </c>
      <c r="D7" s="9" t="n">
        <v>4</v>
      </c>
      <c r="E7" s="13" t="n">
        <v>13</v>
      </c>
      <c r="F7" s="13" t="n">
        <v>19</v>
      </c>
      <c r="G7" s="13" t="n">
        <v>32</v>
      </c>
      <c r="H7" s="21" t="n">
        <f aca="false">C7/1000*D7*12*Inputs!$B$7</f>
        <v>24</v>
      </c>
      <c r="I7" s="21" t="n">
        <f aca="false">H7*(Inputs!$B$10-Inputs!$B$11)</f>
        <v>13.68</v>
      </c>
      <c r="J7" s="21" t="n">
        <f aca="false">IF(H7*(Inputs!$B$10-Inputs!$B$11)-B7*Inputs!$B$17/Inputs!$B$16/1000-Inputs!$B$18*B7/Inputs!$B$15-Inputs!$B$21*Inputs!$B$22&gt;0,(H7*(Inputs!$B$10-Inputs!$B$11)-B7*Inputs!$B$17/Inputs!$B$16/1000-Inputs!$B$18*B7/Inputs!$B$15-Inputs!$B$21*Inputs!$B$22)*(1-Inputs!$B$12),H7*(Inputs!$B$10-Inputs!$B$11)-B7*Inputs!$B$17/Inputs!$B$16/1000-Inputs!$B$18*B7/Inputs!$B$15-Inputs!$B$21*Inputs!$B$22)</f>
        <v>7.3176935483871</v>
      </c>
      <c r="K7" s="21" t="n">
        <f aca="false">H7*Inputs!$B$10*E7-Inputs!$B$21</f>
        <v>213.4</v>
      </c>
      <c r="L7" s="21" t="n">
        <f aca="false">I7*F7-Inputs!$B$21</f>
        <v>254.92</v>
      </c>
      <c r="M7" s="21" t="n">
        <f aca="false">J7*G7</f>
        <v>234.166193548387</v>
      </c>
      <c r="N7" s="25" t="n">
        <f aca="false">(M7*Inputs!$B$29+L7*Inputs!$B$30+K7*Inputs!$B$31)/(Inputs!$B$29+Inputs!$B$30+Inputs!$B$31)</f>
        <v>238.315096774194</v>
      </c>
      <c r="O7" s="27" t="n">
        <f aca="false">N7*1000/Inputs!$B$55</f>
        <v>573.299675572941</v>
      </c>
      <c r="P7" s="29" t="n">
        <f aca="false">H7*1000/B7</f>
        <v>142.857142857143</v>
      </c>
      <c r="Q7" s="32" t="n">
        <v>4</v>
      </c>
      <c r="R7" s="27" t="n">
        <f aca="false">O7/POWER(1+Inputs!$B$44,Q7)</f>
        <v>327.785950206262</v>
      </c>
    </row>
    <row r="8" customFormat="false" ht="15" hidden="false" customHeight="false" outlineLevel="0" collapsed="false">
      <c r="A8" s="3" t="s">
        <v>210</v>
      </c>
      <c r="B8" s="7" t="n">
        <v>248</v>
      </c>
      <c r="C8" s="7" t="n">
        <v>1000</v>
      </c>
      <c r="D8" s="9" t="n">
        <v>5</v>
      </c>
      <c r="E8" s="13" t="n">
        <v>11</v>
      </c>
      <c r="F8" s="13" t="n">
        <v>16</v>
      </c>
      <c r="G8" s="13" t="n">
        <v>28</v>
      </c>
      <c r="H8" s="21" t="n">
        <f aca="false">C8/1000*D8*12*Inputs!$B$7</f>
        <v>60</v>
      </c>
      <c r="I8" s="21" t="n">
        <f aca="false">H8*(Inputs!$B$10-Inputs!$B$11)</f>
        <v>34.2</v>
      </c>
      <c r="J8" s="21" t="n">
        <f aca="false">IF(H8*(Inputs!$B$10-Inputs!$B$11)-B8*Inputs!$B$17/Inputs!$B$16/1000-Inputs!$B$18*B8/Inputs!$B$15-Inputs!$B$21*Inputs!$B$22&gt;0,(H8*(Inputs!$B$10-Inputs!$B$11)-B8*Inputs!$B$17/Inputs!$B$16/1000-Inputs!$B$18*B8/Inputs!$B$15-Inputs!$B$21*Inputs!$B$22)*(1-Inputs!$B$12),H8*(Inputs!$B$10-Inputs!$B$11)-B8*Inputs!$B$17/Inputs!$B$16/1000-Inputs!$B$18*B8/Inputs!$B$15-Inputs!$B$21*Inputs!$B$22)</f>
        <v>22.0173</v>
      </c>
      <c r="K8" s="21" t="n">
        <f aca="false">H8*Inputs!$B$10*E8-Inputs!$B$21</f>
        <v>457</v>
      </c>
      <c r="L8" s="21" t="n">
        <f aca="false">I8*F8-Inputs!$B$21</f>
        <v>542.2</v>
      </c>
      <c r="M8" s="21" t="n">
        <f aca="false">J8*G8</f>
        <v>616.4844</v>
      </c>
      <c r="N8" s="25" t="n">
        <f aca="false">(M8*Inputs!$B$29+L8*Inputs!$B$30+K8*Inputs!$B$31)/(Inputs!$B$29+Inputs!$B$30+Inputs!$B$31)</f>
        <v>566.5622</v>
      </c>
      <c r="O8" s="27" t="n">
        <f aca="false">N8*1000/Inputs!$B$55</f>
        <v>1362.9431364126</v>
      </c>
      <c r="P8" s="29" t="n">
        <f aca="false">H8*1000/B8</f>
        <v>241.935483870968</v>
      </c>
      <c r="Q8" s="32" t="n">
        <v>6</v>
      </c>
      <c r="R8" s="27" t="n">
        <f aca="false">O8/POWER(1+Inputs!$B$44,Q8)</f>
        <v>589.237929529416</v>
      </c>
    </row>
    <row r="9" customFormat="false" ht="15" hidden="false" customHeight="false" outlineLevel="0" collapsed="false">
      <c r="A9" s="3" t="s">
        <v>211</v>
      </c>
      <c r="B9" s="7" t="n">
        <v>248</v>
      </c>
      <c r="C9" s="7" t="n">
        <v>1500</v>
      </c>
      <c r="D9" s="9" t="n">
        <v>5</v>
      </c>
      <c r="E9" s="13" t="n">
        <v>8</v>
      </c>
      <c r="F9" s="13" t="n">
        <v>11</v>
      </c>
      <c r="G9" s="13" t="n">
        <v>18</v>
      </c>
      <c r="H9" s="21" t="n">
        <f aca="false">C9/1000*D9*12*Inputs!$B$7</f>
        <v>90</v>
      </c>
      <c r="I9" s="21" t="n">
        <f aca="false">H9*(Inputs!$B$10-Inputs!$B$11)</f>
        <v>51.3</v>
      </c>
      <c r="J9" s="21" t="n">
        <f aca="false">IF(H9*(Inputs!$B$10-Inputs!$B$11)-B9*Inputs!$B$17/Inputs!$B$16/1000-Inputs!$B$18*B9/Inputs!$B$15-Inputs!$B$21*Inputs!$B$22&gt;0,(H9*(Inputs!$B$10-Inputs!$B$11)-B9*Inputs!$B$17/Inputs!$B$16/1000-Inputs!$B$18*B9/Inputs!$B$15-Inputs!$B$21*Inputs!$B$22)*(1-Inputs!$B$12),H9*(Inputs!$B$10-Inputs!$B$11)-B9*Inputs!$B$17/Inputs!$B$16/1000-Inputs!$B$18*B9/Inputs!$B$15-Inputs!$B$21*Inputs!$B$22)</f>
        <v>35.5263</v>
      </c>
      <c r="K9" s="21" t="n">
        <f aca="false">H9*Inputs!$B$10*E9-Inputs!$B$21</f>
        <v>499</v>
      </c>
      <c r="L9" s="21" t="n">
        <f aca="false">I9*F9-Inputs!$B$21</f>
        <v>559.3</v>
      </c>
      <c r="M9" s="21" t="n">
        <f aca="false">J9*G9</f>
        <v>639.4734</v>
      </c>
      <c r="N9" s="25" t="n">
        <f aca="false">(M9*Inputs!$B$29+L9*Inputs!$B$30+K9*Inputs!$B$31)/(Inputs!$B$29+Inputs!$B$30+Inputs!$B$31)</f>
        <v>590.3417</v>
      </c>
      <c r="O9" s="27" t="n">
        <f aca="false">N9*1000/Inputs!$B$55</f>
        <v>1420.1479875522</v>
      </c>
      <c r="P9" s="29" t="n">
        <f aca="false">H9*1000/B9</f>
        <v>362.903225806452</v>
      </c>
      <c r="Q9" s="32" t="n">
        <v>9</v>
      </c>
      <c r="R9" s="27" t="n">
        <f aca="false">O9/POWER(1+Inputs!$B$44,Q9)</f>
        <v>403.694692395547</v>
      </c>
    </row>
    <row r="11" customFormat="false" ht="15" hidden="false" customHeight="false" outlineLevel="0" collapsed="false">
      <c r="A11" s="8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56"/>
  </cols>
  <sheetData>
    <row r="1" customFormat="false" ht="17.35" hidden="false" customHeight="false" outlineLevel="0" collapsed="false">
      <c r="A1" s="1" t="s">
        <v>213</v>
      </c>
      <c r="B1" s="4"/>
      <c r="C1" s="4"/>
      <c r="D1" s="4"/>
      <c r="E1" s="4"/>
    </row>
    <row r="3" customFormat="false" ht="15" hidden="false" customHeight="false" outlineLevel="0" collapsed="false">
      <c r="A3" s="16" t="s">
        <v>214</v>
      </c>
      <c r="B3" s="16" t="s">
        <v>215</v>
      </c>
      <c r="C3" s="16" t="s">
        <v>192</v>
      </c>
      <c r="D3" s="16" t="s">
        <v>216</v>
      </c>
      <c r="E3" s="16" t="s">
        <v>217</v>
      </c>
    </row>
    <row r="4" customFormat="false" ht="15" hidden="false" customHeight="false" outlineLevel="0" collapsed="false">
      <c r="A4" s="3" t="s">
        <v>218</v>
      </c>
      <c r="B4" s="3" t="s">
        <v>219</v>
      </c>
      <c r="C4" s="7" t="n">
        <v>265</v>
      </c>
      <c r="D4" s="33" t="n">
        <f aca="false">C4/3000</f>
        <v>0.0883333333333333</v>
      </c>
      <c r="E4" s="8" t="s">
        <v>220</v>
      </c>
    </row>
    <row r="5" customFormat="false" ht="15" hidden="false" customHeight="false" outlineLevel="0" collapsed="false">
      <c r="A5" s="3" t="s">
        <v>221</v>
      </c>
      <c r="B5" s="3" t="s">
        <v>222</v>
      </c>
      <c r="C5" s="7" t="n">
        <v>200</v>
      </c>
      <c r="D5" s="33" t="n">
        <f aca="false">C5/3000</f>
        <v>0.0666666666666667</v>
      </c>
      <c r="E5" s="8" t="s">
        <v>223</v>
      </c>
    </row>
    <row r="6" customFormat="false" ht="15" hidden="false" customHeight="false" outlineLevel="0" collapsed="false">
      <c r="A6" s="3" t="s">
        <v>224</v>
      </c>
      <c r="B6" s="3" t="s">
        <v>225</v>
      </c>
      <c r="C6" s="7" t="n">
        <v>146</v>
      </c>
      <c r="D6" s="33" t="n">
        <f aca="false">C6/3000</f>
        <v>0.0486666666666667</v>
      </c>
      <c r="E6" s="8" t="s">
        <v>226</v>
      </c>
    </row>
    <row r="7" customFormat="false" ht="15" hidden="false" customHeight="false" outlineLevel="0" collapsed="false">
      <c r="A7" s="3" t="s">
        <v>227</v>
      </c>
      <c r="B7" s="3" t="s">
        <v>225</v>
      </c>
      <c r="C7" s="7" t="n">
        <v>118</v>
      </c>
      <c r="D7" s="33" t="n">
        <f aca="false">C7/3000</f>
        <v>0.0393333333333333</v>
      </c>
      <c r="E7" s="8" t="s">
        <v>228</v>
      </c>
    </row>
    <row r="8" customFormat="false" ht="15" hidden="false" customHeight="false" outlineLevel="0" collapsed="false">
      <c r="A8" s="3" t="s">
        <v>229</v>
      </c>
      <c r="B8" s="3" t="s">
        <v>230</v>
      </c>
      <c r="C8" s="7" t="n">
        <v>25</v>
      </c>
      <c r="D8" s="33" t="n">
        <f aca="false">C8/3000</f>
        <v>0.00833333333333333</v>
      </c>
      <c r="E8" s="8" t="s">
        <v>231</v>
      </c>
    </row>
    <row r="9" customFormat="false" ht="15" hidden="false" customHeight="false" outlineLevel="0" collapsed="false">
      <c r="A9" s="3" t="s">
        <v>232</v>
      </c>
      <c r="B9" s="3" t="s">
        <v>233</v>
      </c>
      <c r="C9" s="7" t="n">
        <v>10</v>
      </c>
      <c r="D9" s="33" t="n">
        <f aca="false">C9/3000</f>
        <v>0.00333333333333333</v>
      </c>
      <c r="E9" s="8" t="s">
        <v>234</v>
      </c>
    </row>
    <row r="10" customFormat="false" ht="15" hidden="false" customHeight="false" outlineLevel="0" collapsed="false">
      <c r="A10" s="3" t="s">
        <v>235</v>
      </c>
      <c r="B10" s="3" t="s">
        <v>233</v>
      </c>
      <c r="C10" s="7" t="n">
        <v>10</v>
      </c>
      <c r="D10" s="33" t="n">
        <f aca="false">C10/3000</f>
        <v>0.00333333333333333</v>
      </c>
      <c r="E10" s="8" t="s">
        <v>236</v>
      </c>
    </row>
    <row r="11" customFormat="false" ht="15" hidden="false" customHeight="false" outlineLevel="0" collapsed="false">
      <c r="A11" s="3" t="s">
        <v>237</v>
      </c>
      <c r="B11" s="3" t="s">
        <v>238</v>
      </c>
      <c r="C11" s="7" t="n">
        <v>7</v>
      </c>
      <c r="D11" s="33" t="n">
        <f aca="false">C11/3000</f>
        <v>0.00233333333333333</v>
      </c>
      <c r="E11" s="8" t="s">
        <v>239</v>
      </c>
    </row>
    <row r="12" customFormat="false" ht="15" hidden="false" customHeight="false" outlineLevel="0" collapsed="false">
      <c r="A12" s="2" t="s">
        <v>240</v>
      </c>
      <c r="C12" s="34" t="n">
        <f aca="false">SUM(C4:C11)</f>
        <v>781</v>
      </c>
      <c r="D12" s="33" t="n">
        <f aca="false">C12/3000</f>
        <v>0.260333333333333</v>
      </c>
    </row>
    <row r="13" customFormat="false" ht="15" hidden="false" customHeight="false" outlineLevel="0" collapsed="false">
      <c r="A13" s="2" t="s">
        <v>241</v>
      </c>
      <c r="C13" s="7" t="n">
        <v>3000</v>
      </c>
      <c r="E13" s="8" t="s">
        <v>242</v>
      </c>
    </row>
    <row r="15" customFormat="false" ht="15" hidden="false" customHeight="false" outlineLevel="0" collapsed="false">
      <c r="A15" s="2" t="s">
        <v>243</v>
      </c>
      <c r="C15" s="35" t="n">
        <f aca="false">Inputs!$B$5/C13</f>
        <v>0.333333333333333</v>
      </c>
      <c r="E15" s="8" t="s">
        <v>244</v>
      </c>
    </row>
    <row r="16" customFormat="false" ht="15" hidden="false" customHeight="false" outlineLevel="0" collapsed="false">
      <c r="A16" s="3" t="s">
        <v>245</v>
      </c>
      <c r="C16" s="24" t="n">
        <f aca="false">Inputs!$B$15*Inputs!$B$35</f>
        <v>1984</v>
      </c>
      <c r="E16" s="8" t="s">
        <v>246</v>
      </c>
    </row>
    <row r="18" customFormat="false" ht="15" hidden="false" customHeight="false" outlineLevel="0" collapsed="false">
      <c r="A18" s="8" t="s">
        <v>247</v>
      </c>
    </row>
    <row r="19" customFormat="false" ht="15" hidden="false" customHeight="false" outlineLevel="0" collapsed="false">
      <c r="A19" s="8" t="s">
        <v>248</v>
      </c>
    </row>
    <row r="20" customFormat="false" ht="15" hidden="false" customHeight="false" outlineLevel="0" collapsed="false">
      <c r="A20" s="8" t="s">
        <v>249</v>
      </c>
    </row>
    <row r="21" customFormat="false" ht="15" hidden="false" customHeight="false" outlineLevel="0" collapsed="false">
      <c r="A21" s="8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2"/>
  </cols>
  <sheetData>
    <row r="1" customFormat="false" ht="17.35" hidden="false" customHeight="false" outlineLevel="0" collapsed="false">
      <c r="A1" s="1" t="s">
        <v>251</v>
      </c>
    </row>
    <row r="3" customFormat="false" ht="15" hidden="false" customHeight="false" outlineLevel="0" collapsed="false">
      <c r="A3" s="2" t="s">
        <v>252</v>
      </c>
    </row>
    <row r="4" customFormat="false" ht="15" hidden="false" customHeight="false" outlineLevel="0" collapsed="false">
      <c r="A4" s="3" t="s">
        <v>253</v>
      </c>
    </row>
    <row r="5" customFormat="false" ht="15" hidden="false" customHeight="false" outlineLevel="0" collapsed="false">
      <c r="A5" s="3" t="s">
        <v>254</v>
      </c>
    </row>
    <row r="6" customFormat="false" ht="15" hidden="false" customHeight="false" outlineLevel="0" collapsed="false">
      <c r="A6" s="3" t="s">
        <v>255</v>
      </c>
    </row>
    <row r="7" customFormat="false" ht="15" hidden="false" customHeight="false" outlineLevel="0" collapsed="false">
      <c r="A7" s="3" t="s">
        <v>256</v>
      </c>
    </row>
    <row r="8" customFormat="false" ht="15" hidden="false" customHeight="false" outlineLevel="0" collapsed="false">
      <c r="A8" s="3" t="s">
        <v>257</v>
      </c>
    </row>
    <row r="9" customFormat="false" ht="15" hidden="false" customHeight="false" outlineLevel="0" collapsed="false">
      <c r="A9" s="3" t="s">
        <v>258</v>
      </c>
    </row>
    <row r="10" customFormat="false" ht="15" hidden="false" customHeight="false" outlineLevel="0" collapsed="false">
      <c r="A10" s="3" t="s">
        <v>259</v>
      </c>
    </row>
    <row r="12" customFormat="false" ht="15" hidden="false" customHeight="false" outlineLevel="0" collapsed="false">
      <c r="A12" s="2" t="s">
        <v>260</v>
      </c>
    </row>
    <row r="13" customFormat="false" ht="15" hidden="false" customHeight="false" outlineLevel="0" collapsed="false">
      <c r="A13" s="3" t="s">
        <v>261</v>
      </c>
    </row>
    <row r="14" customFormat="false" ht="15" hidden="false" customHeight="false" outlineLevel="0" collapsed="false">
      <c r="A14" s="3" t="s">
        <v>262</v>
      </c>
    </row>
    <row r="15" customFormat="false" ht="15" hidden="false" customHeight="false" outlineLevel="0" collapsed="false">
      <c r="A15" s="3" t="s">
        <v>263</v>
      </c>
    </row>
    <row r="16" customFormat="false" ht="15" hidden="false" customHeight="false" outlineLevel="0" collapsed="false">
      <c r="A16" s="3" t="s">
        <v>264</v>
      </c>
    </row>
    <row r="17" customFormat="false" ht="15" hidden="false" customHeight="false" outlineLevel="0" collapsed="false">
      <c r="A17" s="3" t="s">
        <v>265</v>
      </c>
    </row>
    <row r="18" customFormat="false" ht="15" hidden="false" customHeight="false" outlineLevel="0" collapsed="false">
      <c r="A18" s="3" t="s">
        <v>266</v>
      </c>
    </row>
    <row r="19" customFormat="false" ht="15" hidden="false" customHeight="false" outlineLevel="0" collapsed="false">
      <c r="A19" s="3" t="s">
        <v>267</v>
      </c>
    </row>
    <row r="20" customFormat="false" ht="15" hidden="false" customHeight="false" outlineLevel="0" collapsed="false">
      <c r="A20" s="3" t="s">
        <v>268</v>
      </c>
    </row>
    <row r="21" customFormat="false" ht="15" hidden="false" customHeight="false" outlineLevel="0" collapsed="false">
      <c r="A21" s="3" t="s">
        <v>269</v>
      </c>
    </row>
    <row r="22" customFormat="false" ht="15" hidden="false" customHeight="false" outlineLevel="0" collapsed="false">
      <c r="A22" s="3" t="s">
        <v>270</v>
      </c>
    </row>
    <row r="24" customFormat="false" ht="15" hidden="false" customHeight="false" outlineLevel="0" collapsed="false">
      <c r="A24" s="2" t="s">
        <v>271</v>
      </c>
    </row>
    <row r="25" customFormat="false" ht="15" hidden="false" customHeight="false" outlineLevel="0" collapsed="false">
      <c r="A25" s="3" t="s">
        <v>272</v>
      </c>
    </row>
    <row r="26" customFormat="false" ht="15" hidden="false" customHeight="false" outlineLevel="0" collapsed="false">
      <c r="A26" s="3" t="s">
        <v>273</v>
      </c>
    </row>
    <row r="27" customFormat="false" ht="15" hidden="false" customHeight="false" outlineLevel="0" collapsed="false">
      <c r="A27" s="3" t="s">
        <v>274</v>
      </c>
    </row>
    <row r="28" customFormat="false" ht="15" hidden="false" customHeight="false" outlineLevel="0" collapsed="false">
      <c r="A28" s="3" t="s">
        <v>275</v>
      </c>
    </row>
    <row r="29" customFormat="false" ht="15" hidden="false" customHeight="false" outlineLevel="0" collapsed="false">
      <c r="A29" s="3" t="s">
        <v>276</v>
      </c>
    </row>
    <row r="30" customFormat="false" ht="15" hidden="false" customHeight="false" outlineLevel="0" collapsed="false">
      <c r="A30" s="3" t="s">
        <v>277</v>
      </c>
    </row>
    <row r="32" customFormat="false" ht="15" hidden="false" customHeight="false" outlineLevel="0" collapsed="false">
      <c r="A32" s="2" t="s">
        <v>278</v>
      </c>
    </row>
    <row r="33" customFormat="false" ht="15" hidden="false" customHeight="false" outlineLevel="0" collapsed="false">
      <c r="A33" s="3" t="s">
        <v>279</v>
      </c>
    </row>
    <row r="34" customFormat="false" ht="15" hidden="false" customHeight="false" outlineLevel="0" collapsed="false">
      <c r="A34" s="3" t="s">
        <v>280</v>
      </c>
    </row>
    <row r="35" customFormat="false" ht="15" hidden="false" customHeight="false" outlineLevel="0" collapsed="false">
      <c r="A35" s="3" t="s">
        <v>281</v>
      </c>
    </row>
    <row r="36" customFormat="false" ht="15" hidden="false" customHeight="false" outlineLevel="0" collapsed="false">
      <c r="A36" s="3" t="s">
        <v>282</v>
      </c>
    </row>
    <row r="37" customFormat="false" ht="15" hidden="false" customHeight="false" outlineLevel="0" collapsed="false">
      <c r="A37" s="3" t="s">
        <v>283</v>
      </c>
    </row>
    <row r="39" customFormat="false" ht="15" hidden="false" customHeight="false" outlineLevel="0" collapsed="false">
      <c r="A39" s="2" t="s">
        <v>284</v>
      </c>
    </row>
    <row r="40" customFormat="false" ht="15" hidden="false" customHeight="false" outlineLevel="0" collapsed="false">
      <c r="A40" s="3" t="s">
        <v>285</v>
      </c>
    </row>
    <row r="41" customFormat="false" ht="15" hidden="false" customHeight="false" outlineLevel="0" collapsed="false">
      <c r="A41" s="3" t="s">
        <v>286</v>
      </c>
    </row>
    <row r="42" customFormat="false" ht="15" hidden="false" customHeight="false" outlineLevel="0" collapsed="false">
      <c r="A42" s="3" t="s">
        <v>287</v>
      </c>
    </row>
    <row r="43" customFormat="false" ht="15" hidden="false" customHeight="false" outlineLevel="0" collapsed="false">
      <c r="A43" s="3" t="s">
        <v>288</v>
      </c>
    </row>
    <row r="44" customFormat="false" ht="15" hidden="false" customHeight="false" outlineLevel="0" collapsed="false">
      <c r="A44" s="3" t="s">
        <v>289</v>
      </c>
    </row>
    <row r="45" customFormat="false" ht="15" hidden="false" customHeight="false" outlineLevel="0" collapsed="false">
      <c r="A45" s="3" t="s">
        <v>290</v>
      </c>
    </row>
    <row r="47" customFormat="false" ht="15" hidden="false" customHeight="false" outlineLevel="0" collapsed="false">
      <c r="A47" s="2" t="s">
        <v>291</v>
      </c>
    </row>
    <row r="48" customFormat="false" ht="15" hidden="false" customHeight="false" outlineLevel="0" collapsed="false">
      <c r="A48" s="3" t="s">
        <v>292</v>
      </c>
    </row>
    <row r="49" customFormat="false" ht="15" hidden="false" customHeight="false" outlineLevel="0" collapsed="false">
      <c r="A49" s="3" t="s">
        <v>293</v>
      </c>
    </row>
    <row r="50" customFormat="false" ht="15" hidden="false" customHeight="false" outlineLevel="0" collapsed="false">
      <c r="A50" s="3" t="s">
        <v>294</v>
      </c>
    </row>
    <row r="51" customFormat="false" ht="15" hidden="false" customHeight="false" outlineLevel="0" collapsed="false">
      <c r="A51" s="3" t="s">
        <v>295</v>
      </c>
    </row>
    <row r="52" customFormat="false" ht="15" hidden="false" customHeight="false" outlineLevel="0" collapsed="false">
      <c r="A52" s="3" t="s">
        <v>296</v>
      </c>
    </row>
    <row r="54" customFormat="false" ht="15" hidden="false" customHeight="false" outlineLevel="0" collapsed="false">
      <c r="A54" s="2" t="s">
        <v>297</v>
      </c>
    </row>
    <row r="55" customFormat="false" ht="15" hidden="false" customHeight="false" outlineLevel="0" collapsed="false">
      <c r="A55" s="3" t="s">
        <v>298</v>
      </c>
    </row>
    <row r="56" customFormat="false" ht="15" hidden="false" customHeight="false" outlineLevel="0" collapsed="false">
      <c r="A56" s="3" t="s">
        <v>299</v>
      </c>
    </row>
    <row r="57" customFormat="false" ht="15" hidden="false" customHeight="false" outlineLevel="0" collapsed="false">
      <c r="A57" s="3" t="s">
        <v>300</v>
      </c>
    </row>
    <row r="58" customFormat="false" ht="15" hidden="false" customHeight="false" outlineLevel="0" collapsed="false">
      <c r="A58" s="3" t="s">
        <v>301</v>
      </c>
    </row>
    <row r="59" customFormat="false" ht="15" hidden="false" customHeight="false" outlineLevel="0" collapsed="false">
      <c r="A59" s="3" t="s">
        <v>302</v>
      </c>
    </row>
    <row r="60" customFormat="false" ht="15" hidden="false" customHeight="false" outlineLevel="0" collapsed="false">
      <c r="A60" s="3" t="s">
        <v>303</v>
      </c>
    </row>
    <row r="61" customFormat="false" ht="15" hidden="false" customHeight="false" outlineLevel="0" collapsed="false">
      <c r="A61" s="3" t="s">
        <v>304</v>
      </c>
    </row>
    <row r="63" customFormat="false" ht="15" hidden="false" customHeight="false" outlineLevel="0" collapsed="false">
      <c r="A63" s="2" t="s">
        <v>305</v>
      </c>
    </row>
    <row r="64" customFormat="false" ht="15" hidden="false" customHeight="false" outlineLevel="0" collapsed="false">
      <c r="A64" s="3" t="s">
        <v>306</v>
      </c>
    </row>
    <row r="65" customFormat="false" ht="15" hidden="false" customHeight="false" outlineLevel="0" collapsed="false">
      <c r="A65" s="3" t="s">
        <v>307</v>
      </c>
    </row>
    <row r="66" customFormat="false" ht="15" hidden="false" customHeight="false" outlineLevel="0" collapsed="false">
      <c r="A66" s="3" t="s">
        <v>308</v>
      </c>
    </row>
    <row r="67" customFormat="false" ht="15" hidden="false" customHeight="false" outlineLevel="0" collapsed="false">
      <c r="A67" s="3" t="s">
        <v>309</v>
      </c>
    </row>
    <row r="68" customFormat="false" ht="15" hidden="false" customHeight="false" outlineLevel="0" collapsed="false">
      <c r="A68" s="3" t="s">
        <v>310</v>
      </c>
    </row>
    <row r="69" customFormat="false" ht="15" hidden="false" customHeight="false" outlineLevel="0" collapsed="false">
      <c r="A69" s="3" t="s">
        <v>311</v>
      </c>
    </row>
    <row r="70" customFormat="false" ht="15" hidden="false" customHeight="false" outlineLevel="0" collapsed="false">
      <c r="A70" s="3" t="s">
        <v>312</v>
      </c>
    </row>
    <row r="71" customFormat="false" ht="15" hidden="false" customHeight="false" outlineLevel="0" collapsed="false">
      <c r="A71" s="3" t="s">
        <v>313</v>
      </c>
    </row>
    <row r="72" customFormat="false" ht="15" hidden="false" customHeight="false" outlineLevel="0" collapsed="false">
      <c r="A72" s="8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2026-07-23T13:29:55Z</dcterms:created>
  <dc:creator>openpyxl</dc:creator>
  <dc:description/>
  <dc:language>en-US</dc:language>
  <cp:lastModifiedBy/>
  <dcterms:modified xsi:type="dcterms:W3CDTF">2026-07-23T13:29:55Z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